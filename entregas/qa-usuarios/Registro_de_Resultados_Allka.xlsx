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Testes" sheetId="2" r:id="rId2"/>
    <sheet name="Legenda" sheetId="3" r:id="rId3"/>
  </sheets>
  <definedNames>
    <definedName name="_xlnm._FilterDatabase" localSheetId="1">'Testes'!A1:H154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4.83203125" customWidth="1"/>
    <col min="2" max="2" width="8.83203125" customWidth="1"/>
    <col min="3" max="3" width="9.83203125" customWidth="1"/>
    <col min="4" max="4" width="10.83203125" customWidth="1"/>
    <col min="5" max="5" width="11.83203125" customWidth="1"/>
    <col min="6" max="6" width="14.83203125" customWidth="1"/>
    <col min="7" max="7" width="14.83203125" customWidth="1"/>
    <col min="8" max="8" width="18.83203125" customWidth="1"/>
  </cols>
  <sheetData>
    <row r="1">
      <c r="A1" t="str">
        <v>Manual de Testes Allka por Perfil</v>
      </c>
    </row>
    <row r="2">
      <c r="A2" t="str">
        <v>Homologação visual e operacional — Memória, IA de Lançamento e Onboarding guiado</v>
      </c>
    </row>
    <row r="3">
      <c r="A3" t="str">
        <v>Versão 2 — rascunho para revisão interna — NÃO enviar aos usuários antes da revisão do responsável.</v>
      </c>
    </row>
    <row r="5">
      <c r="A5" t="str">
        <v>Perfil</v>
      </c>
      <c r="B5" t="str">
        <v>Total</v>
      </c>
      <c r="C5" t="str">
        <v>Rápido</v>
      </c>
      <c r="D5" t="str">
        <v>Completo</v>
      </c>
      <c r="E5" t="str">
        <v>Funcionou</v>
      </c>
      <c r="F5" t="str">
        <v>Não funcionou</v>
      </c>
      <c r="G5" t="str">
        <v>Não se aplica</v>
      </c>
      <c r="H5" t="str">
        <v>Não consegui testar</v>
      </c>
    </row>
    <row r="6">
      <c r="A6" t="str">
        <v>Admin Master</v>
      </c>
      <c r="B6">
        <v>20</v>
      </c>
      <c r="C6">
        <f>COUNTIFS(Testes!$B$2:$B$154,A6,Testes!$D$2:$D$154,"Rápido")</f>
        <v>0</v>
      </c>
      <c r="D6">
        <f>COUNTIFS(Testes!$B$2:$B$154,A6,Testes!$D$2:$D$154,"Completo")</f>
        <v>0</v>
      </c>
      <c r="E6">
        <f>COUNTIFS(Testes!$B$2:$B$154,A6,Testes!$G$2:$G$154,"Funcionou")</f>
        <v>0</v>
      </c>
      <c r="F6">
        <f>COUNTIFS(Testes!$B$2:$B$154,A6,Testes!$G$2:$G$154,"Não funcionou")</f>
        <v>0</v>
      </c>
      <c r="G6">
        <f>COUNTIFS(Testes!$B$2:$B$154,A6,Testes!$G$2:$G$154,"Não se aplica")</f>
        <v>0</v>
      </c>
      <c r="H6">
        <f>COUNTIFS(Testes!$B$2:$B$154,A6,Testes!$G$2:$G$154,"Não consegui testar")</f>
        <v>0</v>
      </c>
    </row>
    <row r="7">
      <c r="A7" t="str">
        <v>Admin comum</v>
      </c>
      <c r="B7">
        <v>21</v>
      </c>
      <c r="C7">
        <f>COUNTIFS(Testes!$B$2:$B$154,A7,Testes!$D$2:$D$154,"Rápido")</f>
        <v>0</v>
      </c>
      <c r="D7">
        <f>COUNTIFS(Testes!$B$2:$B$154,A7,Testes!$D$2:$D$154,"Completo")</f>
        <v>0</v>
      </c>
      <c r="E7">
        <f>COUNTIFS(Testes!$B$2:$B$154,A7,Testes!$G$2:$G$154,"Funcionou")</f>
        <v>0</v>
      </c>
      <c r="F7">
        <f>COUNTIFS(Testes!$B$2:$B$154,A7,Testes!$G$2:$G$154,"Não funcionou")</f>
        <v>0</v>
      </c>
      <c r="G7">
        <f>COUNTIFS(Testes!$B$2:$B$154,A7,Testes!$G$2:$G$154,"Não se aplica")</f>
        <v>0</v>
      </c>
      <c r="H7">
        <f>COUNTIFS(Testes!$B$2:$B$154,A7,Testes!$G$2:$G$154,"Não consegui testar")</f>
        <v>0</v>
      </c>
    </row>
    <row r="8">
      <c r="A8" t="str">
        <v>Empresa (Company)</v>
      </c>
      <c r="B8">
        <v>20</v>
      </c>
      <c r="C8">
        <f>COUNTIFS(Testes!$B$2:$B$154,A8,Testes!$D$2:$D$154,"Rápido")</f>
        <v>0</v>
      </c>
      <c r="D8">
        <f>COUNTIFS(Testes!$B$2:$B$154,A8,Testes!$D$2:$D$154,"Completo")</f>
        <v>0</v>
      </c>
      <c r="E8">
        <f>COUNTIFS(Testes!$B$2:$B$154,A8,Testes!$G$2:$G$154,"Funcionou")</f>
        <v>0</v>
      </c>
      <c r="F8">
        <f>COUNTIFS(Testes!$B$2:$B$154,A8,Testes!$G$2:$G$154,"Não funcionou")</f>
        <v>0</v>
      </c>
      <c r="G8">
        <f>COUNTIFS(Testes!$B$2:$B$154,A8,Testes!$G$2:$G$154,"Não se aplica")</f>
        <v>0</v>
      </c>
      <c r="H8">
        <f>COUNTIFS(Testes!$B$2:$B$154,A8,Testes!$G$2:$G$154,"Não consegui testar")</f>
        <v>0</v>
      </c>
    </row>
    <row r="9">
      <c r="A9" t="str">
        <v>Agência (Agency)</v>
      </c>
      <c r="B9">
        <v>20</v>
      </c>
      <c r="C9">
        <f>COUNTIFS(Testes!$B$2:$B$154,A9,Testes!$D$2:$D$154,"Rápido")</f>
        <v>0</v>
      </c>
      <c r="D9">
        <f>COUNTIFS(Testes!$B$2:$B$154,A9,Testes!$D$2:$D$154,"Completo")</f>
        <v>0</v>
      </c>
      <c r="E9">
        <f>COUNTIFS(Testes!$B$2:$B$154,A9,Testes!$G$2:$G$154,"Funcionou")</f>
        <v>0</v>
      </c>
      <c r="F9">
        <f>COUNTIFS(Testes!$B$2:$B$154,A9,Testes!$G$2:$G$154,"Não funcionou")</f>
        <v>0</v>
      </c>
      <c r="G9">
        <f>COUNTIFS(Testes!$B$2:$B$154,A9,Testes!$G$2:$G$154,"Não se aplica")</f>
        <v>0</v>
      </c>
      <c r="H9">
        <f>COUNTIFS(Testes!$B$2:$B$154,A9,Testes!$G$2:$G$154,"Não consegui testar")</f>
        <v>0</v>
      </c>
    </row>
    <row r="10">
      <c r="A10" t="str">
        <v>Partner (upgrade de Agência)</v>
      </c>
      <c r="B10">
        <v>20</v>
      </c>
      <c r="C10">
        <f>COUNTIFS(Testes!$B$2:$B$154,A10,Testes!$D$2:$D$154,"Rápido")</f>
        <v>0</v>
      </c>
      <c r="D10">
        <f>COUNTIFS(Testes!$B$2:$B$154,A10,Testes!$D$2:$D$154,"Completo")</f>
        <v>0</v>
      </c>
      <c r="E10">
        <f>COUNTIFS(Testes!$B$2:$B$154,A10,Testes!$G$2:$G$154,"Funcionou")</f>
        <v>0</v>
      </c>
      <c r="F10">
        <f>COUNTIFS(Testes!$B$2:$B$154,A10,Testes!$G$2:$G$154,"Não funcionou")</f>
        <v>0</v>
      </c>
      <c r="G10">
        <f>COUNTIFS(Testes!$B$2:$B$154,A10,Testes!$G$2:$G$154,"Não se aplica")</f>
        <v>0</v>
      </c>
      <c r="H10">
        <f>COUNTIFS(Testes!$B$2:$B$154,A10,Testes!$G$2:$G$154,"Não consegui testar")</f>
        <v>0</v>
      </c>
    </row>
    <row r="11">
      <c r="A11" t="str">
        <v>Líder</v>
      </c>
      <c r="B11">
        <v>19</v>
      </c>
      <c r="C11">
        <f>COUNTIFS(Testes!$B$2:$B$154,A11,Testes!$D$2:$D$154,"Rápido")</f>
        <v>0</v>
      </c>
      <c r="D11">
        <f>COUNTIFS(Testes!$B$2:$B$154,A11,Testes!$D$2:$D$154,"Completo")</f>
        <v>0</v>
      </c>
      <c r="E11">
        <f>COUNTIFS(Testes!$B$2:$B$154,A11,Testes!$G$2:$G$154,"Funcionou")</f>
        <v>0</v>
      </c>
      <c r="F11">
        <f>COUNTIFS(Testes!$B$2:$B$154,A11,Testes!$G$2:$G$154,"Não funcionou")</f>
        <v>0</v>
      </c>
      <c r="G11">
        <f>COUNTIFS(Testes!$B$2:$B$154,A11,Testes!$G$2:$G$154,"Não se aplica")</f>
        <v>0</v>
      </c>
      <c r="H11">
        <f>COUNTIFS(Testes!$B$2:$B$154,A11,Testes!$G$2:$G$154,"Não consegui testar")</f>
        <v>0</v>
      </c>
    </row>
    <row r="12">
      <c r="A12" t="str">
        <v>Nômade</v>
      </c>
      <c r="B12">
        <v>20</v>
      </c>
      <c r="C12">
        <f>COUNTIFS(Testes!$B$2:$B$154,A12,Testes!$D$2:$D$154,"Rápido")</f>
        <v>0</v>
      </c>
      <c r="D12">
        <f>COUNTIFS(Testes!$B$2:$B$154,A12,Testes!$D$2:$D$154,"Completo")</f>
        <v>0</v>
      </c>
      <c r="E12">
        <f>COUNTIFS(Testes!$B$2:$B$154,A12,Testes!$G$2:$G$154,"Funcionou")</f>
        <v>0</v>
      </c>
      <c r="F12">
        <f>COUNTIFS(Testes!$B$2:$B$154,A12,Testes!$G$2:$G$154,"Não funcionou")</f>
        <v>0</v>
      </c>
      <c r="G12">
        <f>COUNTIFS(Testes!$B$2:$B$154,A12,Testes!$G$2:$G$154,"Não se aplica")</f>
        <v>0</v>
      </c>
      <c r="H12">
        <f>COUNTIFS(Testes!$B$2:$B$154,A12,Testes!$G$2:$G$154,"Não consegui testar")</f>
        <v>0</v>
      </c>
    </row>
    <row r="13">
      <c r="A13" t="str">
        <v>Celular</v>
      </c>
      <c r="B13">
        <v>10</v>
      </c>
      <c r="C13">
        <f>COUNTIFS(Testes!$B$2:$B$154,A13,Testes!$D$2:$D$154,"Rápido")</f>
        <v>0</v>
      </c>
      <c r="D13">
        <f>COUNTIFS(Testes!$B$2:$B$154,A13,Testes!$D$2:$D$154,"Completo")</f>
        <v>0</v>
      </c>
      <c r="E13">
        <f>COUNTIFS(Testes!$B$2:$B$154,A13,Testes!$G$2:$G$154,"Funcionou")</f>
        <v>0</v>
      </c>
      <c r="F13">
        <f>COUNTIFS(Testes!$B$2:$B$154,A13,Testes!$G$2:$G$154,"Não funcionou")</f>
        <v>0</v>
      </c>
      <c r="G13">
        <f>COUNTIFS(Testes!$B$2:$B$154,A13,Testes!$G$2:$G$154,"Não se aplica")</f>
        <v>0</v>
      </c>
      <c r="H13">
        <f>COUNTIFS(Testes!$B$2:$B$154,A13,Testes!$G$2:$G$154,"Não consegui testar")</f>
        <v>0</v>
      </c>
    </row>
    <row r="14">
      <c r="A14" t="str">
        <v>Testes cruzados</v>
      </c>
      <c r="B14">
        <v>3</v>
      </c>
      <c r="C14">
        <f>COUNTIFS(Testes!$B$2:$B$154,A14,Testes!$D$2:$D$154,"Rápido")</f>
        <v>0</v>
      </c>
      <c r="D14">
        <f>COUNTIFS(Testes!$B$2:$B$154,A14,Testes!$D$2:$D$154,"Completo")</f>
        <v>0</v>
      </c>
      <c r="E14">
        <f>COUNTIFS(Testes!$B$2:$B$154,A14,Testes!$G$2:$G$154,"Funcionou")</f>
        <v>0</v>
      </c>
      <c r="F14">
        <f>COUNTIFS(Testes!$B$2:$B$154,A14,Testes!$G$2:$G$154,"Não funcionou")</f>
        <v>0</v>
      </c>
      <c r="G14">
        <f>COUNTIFS(Testes!$B$2:$B$154,A14,Testes!$G$2:$G$154,"Não se aplica")</f>
        <v>0</v>
      </c>
      <c r="H14">
        <f>COUNTIFS(Testes!$B$2:$B$154,A14,Testes!$G$2:$G$154,"Não consegui testar")</f>
        <v>0</v>
      </c>
    </row>
    <row r="15">
      <c r="A15" t="str">
        <v>TOTAL GERAL</v>
      </c>
      <c r="B15">
        <f>SUM(B6:B14)</f>
        <v>153</v>
      </c>
      <c r="C15">
        <f>SUM(C6:C14)</f>
        <v>0</v>
      </c>
      <c r="D15">
        <f>SUM(D6:D14)</f>
        <v>0</v>
      </c>
      <c r="E15">
        <f>SUM(E6:E14)</f>
        <v>0</v>
      </c>
      <c r="F15">
        <f>SUM(F6:F14)</f>
        <v>0</v>
      </c>
      <c r="G15">
        <f>SUM(G6:G14)</f>
        <v>0</v>
      </c>
      <c r="H15">
        <f>SUM(H6:H14)</f>
        <v>0</v>
      </c>
    </row>
  </sheetData>
  <mergeCells count="3">
    <mergeCell ref="A1:H1"/>
    <mergeCell ref="A2:H2"/>
    <mergeCell ref="A3:H3"/>
  </mergeCells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cols>
    <col min="1" max="1" width="8.83203125" customWidth="1"/>
    <col min="2" max="2" width="22.83203125" customWidth="1"/>
    <col min="3" max="3" width="30.83203125" customWidth="1"/>
    <col min="4" max="4" width="10.83203125" customWidth="1"/>
    <col min="5" max="5" width="60.83203125" customWidth="1"/>
    <col min="6" max="6" width="14.83203125" customWidth="1"/>
    <col min="7" max="7" width="20.83203125" customWidth="1"/>
    <col min="8" max="8" width="40.83203125" customWidth="1"/>
  </cols>
  <sheetData>
    <row r="1">
      <c r="A1" t="str">
        <v>ID</v>
      </c>
      <c r="B1" t="str">
        <v>Perfil</v>
      </c>
      <c r="C1" t="str">
        <v>Funcionalidade</v>
      </c>
      <c r="D1" t="str">
        <v>Trilha</v>
      </c>
      <c r="E1" t="str">
        <v>Objetivo</v>
      </c>
      <c r="F1" t="str">
        <v>Nível de cuidado</v>
      </c>
      <c r="G1" t="str">
        <v>Status</v>
      </c>
      <c r="H1" t="str">
        <v>Observações</v>
      </c>
    </row>
    <row r="2">
      <c r="A2" t="str">
        <v>AM-001</v>
      </c>
      <c r="B2" t="str">
        <v>Admin Master</v>
      </c>
      <c r="C2" t="str">
        <v>Layout geral</v>
      </c>
      <c r="D2" t="str">
        <v>Rápido</v>
      </c>
      <c r="E2" t="str">
        <v>Confirmar que a tela inicial do perfil carrega sem elementos quebrados, cortados ou fora do lugar.</v>
      </c>
      <c r="F2" t="str">
        <v>Baixo</v>
      </c>
      <c r="G2" t="str">
        <v/>
      </c>
      <c r="H2" t="str">
        <v/>
      </c>
    </row>
    <row r="3">
      <c r="A3" t="str">
        <v>AM-002</v>
      </c>
      <c r="B3" t="str">
        <v>Admin Master</v>
      </c>
      <c r="C3" t="str">
        <v>Textos e clareza</v>
      </c>
      <c r="D3" t="str">
        <v>Completo</v>
      </c>
      <c r="E3" t="str">
        <v>Confirmar que os textos da tela estão em português correto, sem termo técnico interno nem frase confusa.</v>
      </c>
      <c r="F3" t="str">
        <v>Baixo</v>
      </c>
      <c r="G3" t="str">
        <v/>
      </c>
      <c r="H3" t="str">
        <v/>
      </c>
    </row>
    <row r="4">
      <c r="A4" t="str">
        <v>AM-003</v>
      </c>
      <c r="B4" t="str">
        <v>Admin Master</v>
      </c>
      <c r="C4" t="str">
        <v>Botões</v>
      </c>
      <c r="D4" t="str">
        <v>Completo</v>
      </c>
      <c r="E4" t="str">
        <v>Confirmar que os botões têm nome completo, são clicáveis e fazem o que dizem.</v>
      </c>
      <c r="F4" t="str">
        <v>Baixo</v>
      </c>
      <c r="G4" t="str">
        <v/>
      </c>
      <c r="H4" t="str">
        <v/>
      </c>
    </row>
    <row r="5">
      <c r="A5" t="str">
        <v>AM-004</v>
      </c>
      <c r="B5" t="str">
        <v>Admin Master</v>
      </c>
      <c r="C5" t="str">
        <v>Filtros e busca</v>
      </c>
      <c r="D5" t="str">
        <v>Completo</v>
      </c>
      <c r="E5" t="str">
        <v>Confirmar que os filtros e a busca (quando existirem na tela) retornam um resultado coerente.</v>
      </c>
      <c r="F5" t="str">
        <v>Baixo</v>
      </c>
      <c r="G5" t="str">
        <v/>
      </c>
      <c r="H5" t="str">
        <v/>
      </c>
    </row>
    <row r="6">
      <c r="A6" t="str">
        <v>AM-005</v>
      </c>
      <c r="B6" t="str">
        <v>Admin Master</v>
      </c>
      <c r="C6" t="str">
        <v>Modais e painéis</v>
      </c>
      <c r="D6" t="str">
        <v>Rápido</v>
      </c>
      <c r="E6" t="str">
        <v>Confirmar que modais e painéis abrem e fecham sem travar a tela, sem sobrepor conteúdo indevido.</v>
      </c>
      <c r="F6" t="str">
        <v>Baixo</v>
      </c>
      <c r="G6" t="str">
        <v/>
      </c>
      <c r="H6" t="str">
        <v/>
      </c>
    </row>
    <row r="7">
      <c r="A7" t="str">
        <v>AM-006</v>
      </c>
      <c r="B7" t="str">
        <v>Admin Master</v>
      </c>
      <c r="C7" t="str">
        <v>Onboarding — oferta no primeiro acesso</v>
      </c>
      <c r="D7" t="str">
        <v>Rápido</v>
      </c>
      <c r="E7" t="str">
        <v>Confirmar que o tour de boas-vindas é oferecido automaticamente no primeiro acesso da conta.</v>
      </c>
      <c r="F7" t="str">
        <v>Baixo</v>
      </c>
      <c r="G7" t="str">
        <v/>
      </c>
      <c r="H7" t="str">
        <v/>
      </c>
    </row>
    <row r="8">
      <c r="A8" t="str">
        <v>AM-007</v>
      </c>
      <c r="B8" t="str">
        <v>Admin Master</v>
      </c>
      <c r="C8" t="str">
        <v>Onboarding — iniciar</v>
      </c>
      <c r="D8" t="str">
        <v>Rápido</v>
      </c>
      <c r="E8" t="str">
        <v>Confirmar que o botão "Começar" realmente inicia o tour guiado.</v>
      </c>
      <c r="F8" t="str">
        <v>Baixo</v>
      </c>
      <c r="G8" t="str">
        <v/>
      </c>
      <c r="H8" t="str">
        <v/>
      </c>
    </row>
    <row r="9">
      <c r="A9" t="str">
        <v>AM-008</v>
      </c>
      <c r="B9" t="str">
        <v>Admin Master</v>
      </c>
      <c r="C9" t="str">
        <v>Onboarding — adiar</v>
      </c>
      <c r="D9" t="str">
        <v>Completo</v>
      </c>
      <c r="E9" t="str">
        <v>Confirmar que "Agora não" adia a oferta sem marcar o tour como concluído.</v>
      </c>
      <c r="F9" t="str">
        <v>Baixo</v>
      </c>
      <c r="G9" t="str">
        <v/>
      </c>
      <c r="H9" t="str">
        <v/>
      </c>
    </row>
    <row r="10">
      <c r="A10" t="str">
        <v>AM-009</v>
      </c>
      <c r="B10" t="str">
        <v>Admin Master</v>
      </c>
      <c r="C10" t="str">
        <v>Onboarding — dispensar</v>
      </c>
      <c r="D10" t="str">
        <v>Completo</v>
      </c>
      <c r="E10" t="str">
        <v>Confirmar que "Não quero ver" dispensa a oferta automática definitivamente, mas nunca impede reabertura manual.</v>
      </c>
      <c r="F10" t="str">
        <v>Médio — evite fazer este teste sem necessidade, pois a decisão fica salva no servidor.</v>
      </c>
      <c r="G10" t="str">
        <v/>
      </c>
      <c r="H10" t="str">
        <v/>
      </c>
    </row>
    <row r="11">
      <c r="A11" t="str">
        <v>AM-010</v>
      </c>
      <c r="B11" t="str">
        <v>Admin Master</v>
      </c>
      <c r="C11" t="str">
        <v>Onboarding — retomar</v>
      </c>
      <c r="D11" t="str">
        <v>Rápido</v>
      </c>
      <c r="E11" t="str">
        <v>Confirmar que um tour interrompido no meio retoma exatamente do passo onde parou.</v>
      </c>
      <c r="F11" t="str">
        <v>Baixo</v>
      </c>
      <c r="G11" t="str">
        <v/>
      </c>
      <c r="H11" t="str">
        <v/>
      </c>
    </row>
    <row r="12">
      <c r="A12" t="str">
        <v>AM-011</v>
      </c>
      <c r="B12" t="str">
        <v>Admin Master</v>
      </c>
      <c r="C12" t="str">
        <v>Onboarding — concluir</v>
      </c>
      <c r="D12" t="str">
        <v>Completo</v>
      </c>
      <c r="E12" t="str">
        <v>Confirmar que é possível percorrer um tour do início ao fim e ele fica marcado como concluído.</v>
      </c>
      <c r="F12" t="str">
        <v>Baixo</v>
      </c>
      <c r="G12" t="str">
        <v/>
      </c>
      <c r="H12" t="str">
        <v/>
      </c>
    </row>
    <row r="13">
      <c r="A13" t="str">
        <v>AM-012</v>
      </c>
      <c r="B13" t="str">
        <v>Admin Master</v>
      </c>
      <c r="C13" t="str">
        <v>Onboarding — refazer</v>
      </c>
      <c r="D13" t="str">
        <v>Rápido</v>
      </c>
      <c r="E13" t="str">
        <v>Confirmar que um tour já concluído pode ser refeito pela Central de Ajuda sem perder o histórico.</v>
      </c>
      <c r="F13" t="str">
        <v>Baixo</v>
      </c>
      <c r="G13" t="str">
        <v/>
      </c>
      <c r="H13" t="str">
        <v/>
      </c>
    </row>
    <row r="14">
      <c r="A14" t="str">
        <v>AM-013</v>
      </c>
      <c r="B14" t="str">
        <v>Admin Master</v>
      </c>
      <c r="C14" t="str">
        <v>Permissão — Central de Ajuda</v>
      </c>
      <c r="D14" t="str">
        <v>Rápido</v>
      </c>
      <c r="E14" t="str">
        <v>Confirmar que a Central de Ajuda só lista tours que fazem sentido para este perfil.</v>
      </c>
      <c r="F14" t="str">
        <v>Baixo</v>
      </c>
      <c r="G14" t="str">
        <v/>
      </c>
      <c r="H14" t="str">
        <v/>
      </c>
    </row>
    <row r="15">
      <c r="A15" t="str">
        <v>AM-014</v>
      </c>
      <c r="B15" t="str">
        <v>Admin Master</v>
      </c>
      <c r="C15" t="str">
        <v>Onboarding — painel fechado</v>
      </c>
      <c r="D15" t="str">
        <v>Completo</v>
      </c>
      <c r="E15" t="str">
        <v>Confirmar que um tour que depende de um painel fechado (ex.: Alertas ou Notificações) orienta a abrir o painel em vez de travar ou pular o passo.</v>
      </c>
      <c r="F15" t="str">
        <v>Baixo</v>
      </c>
      <c r="G15" t="str">
        <v/>
      </c>
      <c r="H15" t="str">
        <v/>
      </c>
    </row>
    <row r="16">
      <c r="A16" t="str">
        <v>AM-015</v>
      </c>
      <c r="B16" t="str">
        <v>Admin Master</v>
      </c>
      <c r="C16" t="str">
        <v>Onboarding — sem dados abertos</v>
      </c>
      <c r="D16" t="str">
        <v>Completo</v>
      </c>
      <c r="E16" t="str">
        <v>Confirmar que um tour que depende de um projeto/registro aberto explica a situação quando não há nenhum aberto, em vez de travar ou ensinar uma ação impossível.</v>
      </c>
      <c r="F16" t="str">
        <v>Baixo</v>
      </c>
      <c r="G16" t="str">
        <v/>
      </c>
      <c r="H16" t="str">
        <v/>
      </c>
    </row>
    <row r="17">
      <c r="A17" t="str">
        <v>AM-016</v>
      </c>
      <c r="B17" t="str">
        <v>Admin Master</v>
      </c>
      <c r="C17" t="str">
        <v>Persistência após F5</v>
      </c>
      <c r="D17" t="str">
        <v>Rápido</v>
      </c>
      <c r="E17" t="str">
        <v>Confirmar que um tour em andamento retoma do mesmo passo depois de recarregar a página.</v>
      </c>
      <c r="F17" t="str">
        <v>Baixo</v>
      </c>
      <c r="G17" t="str">
        <v/>
      </c>
      <c r="H17" t="str">
        <v/>
      </c>
    </row>
    <row r="18">
      <c r="A18" t="str">
        <v>AM-017</v>
      </c>
      <c r="B18" t="str">
        <v>Admin Master</v>
      </c>
      <c r="C18" t="str">
        <v>Permissão — ações visíveis</v>
      </c>
      <c r="D18" t="str">
        <v>Completo</v>
      </c>
      <c r="E18" t="str">
        <v>Confirmar que os botões e ações visíveis na tela fazem sentido para este perfil — nada que essa conta não pode fazer aparece.</v>
      </c>
      <c r="F18" t="str">
        <v>Baixo</v>
      </c>
      <c r="G18" t="str">
        <v/>
      </c>
      <c r="H18" t="str">
        <v/>
      </c>
    </row>
    <row r="19">
      <c r="A19" t="str">
        <v>AM-018</v>
      </c>
      <c r="B19" t="str">
        <v>Admin Master</v>
      </c>
      <c r="C19" t="str">
        <v>Legacy</v>
      </c>
      <c r="D19" t="str">
        <v>Rápido</v>
      </c>
      <c r="E19" t="str">
        <v>Confirmar que a consulta da plataforma anterior (Legacy) está acessível e é somente leitura.</v>
      </c>
      <c r="F19" t="str">
        <v>Baixo</v>
      </c>
      <c r="G19" t="str">
        <v/>
      </c>
      <c r="H19" t="str">
        <v/>
      </c>
    </row>
    <row r="20">
      <c r="A20" t="str">
        <v>AM-019</v>
      </c>
      <c r="B20" t="str">
        <v>Admin Master</v>
      </c>
      <c r="C20" t="str">
        <v>Administração de Alertas e Regras</v>
      </c>
      <c r="D20" t="str">
        <v>Rápido</v>
      </c>
      <c r="E20" t="str">
        <v>Confirmar que a aba "Gerenciar" do painel de Alertas (Padrões, Regras, Programados, Avulsos) está acessível.</v>
      </c>
      <c r="F20" t="str">
        <v>Baixo</v>
      </c>
      <c r="G20" t="str">
        <v/>
      </c>
      <c r="H20" t="str">
        <v/>
      </c>
    </row>
    <row r="21">
      <c r="A21" t="str">
        <v>AM-020</v>
      </c>
      <c r="B21" t="str">
        <v>Admin Master</v>
      </c>
      <c r="C21" t="str">
        <v>Aditivos — aprovação</v>
      </c>
      <c r="D21" t="str">
        <v>Completo</v>
      </c>
      <c r="E21" t="str">
        <v>Confirmar que o Admin Master consegue abrir a tela de aprovação de um aditivo solicitado.</v>
      </c>
      <c r="F21" t="str">
        <v>Alto se for de fato aprovar/rejeitar; Baixo se for só visualizar.</v>
      </c>
      <c r="G21" t="str">
        <v/>
      </c>
      <c r="H21" t="str">
        <v/>
      </c>
    </row>
    <row r="22">
      <c r="A22" t="str">
        <v>AC-001</v>
      </c>
      <c r="B22" t="str">
        <v>Admin comum</v>
      </c>
      <c r="C22" t="str">
        <v>Layout geral</v>
      </c>
      <c r="D22" t="str">
        <v>Rápido</v>
      </c>
      <c r="E22" t="str">
        <v>Confirmar que a tela inicial do perfil carrega sem elementos quebrados, cortados ou fora do lugar.</v>
      </c>
      <c r="F22" t="str">
        <v>Baixo</v>
      </c>
      <c r="G22" t="str">
        <v/>
      </c>
      <c r="H22" t="str">
        <v/>
      </c>
    </row>
    <row r="23">
      <c r="A23" t="str">
        <v>AC-002</v>
      </c>
      <c r="B23" t="str">
        <v>Admin comum</v>
      </c>
      <c r="C23" t="str">
        <v>Textos e clareza</v>
      </c>
      <c r="D23" t="str">
        <v>Completo</v>
      </c>
      <c r="E23" t="str">
        <v>Confirmar que os textos da tela estão em português correto, sem termo técnico interno nem frase confusa.</v>
      </c>
      <c r="F23" t="str">
        <v>Baixo</v>
      </c>
      <c r="G23" t="str">
        <v/>
      </c>
      <c r="H23" t="str">
        <v/>
      </c>
    </row>
    <row r="24">
      <c r="A24" t="str">
        <v>AC-003</v>
      </c>
      <c r="B24" t="str">
        <v>Admin comum</v>
      </c>
      <c r="C24" t="str">
        <v>Botões</v>
      </c>
      <c r="D24" t="str">
        <v>Completo</v>
      </c>
      <c r="E24" t="str">
        <v>Confirmar que os botões têm nome completo, são clicáveis e fazem o que dizem.</v>
      </c>
      <c r="F24" t="str">
        <v>Baixo</v>
      </c>
      <c r="G24" t="str">
        <v/>
      </c>
      <c r="H24" t="str">
        <v/>
      </c>
    </row>
    <row r="25">
      <c r="A25" t="str">
        <v>AC-004</v>
      </c>
      <c r="B25" t="str">
        <v>Admin comum</v>
      </c>
      <c r="C25" t="str">
        <v>Filtros e busca</v>
      </c>
      <c r="D25" t="str">
        <v>Completo</v>
      </c>
      <c r="E25" t="str">
        <v>Confirmar que os filtros e a busca (quando existirem na tela) retornam um resultado coerente.</v>
      </c>
      <c r="F25" t="str">
        <v>Baixo</v>
      </c>
      <c r="G25" t="str">
        <v/>
      </c>
      <c r="H25" t="str">
        <v/>
      </c>
    </row>
    <row r="26">
      <c r="A26" t="str">
        <v>AC-005</v>
      </c>
      <c r="B26" t="str">
        <v>Admin comum</v>
      </c>
      <c r="C26" t="str">
        <v>Modais e painéis</v>
      </c>
      <c r="D26" t="str">
        <v>Rápido</v>
      </c>
      <c r="E26" t="str">
        <v>Confirmar que modais e painéis abrem e fecham sem travar a tela, sem sobrepor conteúdo indevido.</v>
      </c>
      <c r="F26" t="str">
        <v>Baixo</v>
      </c>
      <c r="G26" t="str">
        <v/>
      </c>
      <c r="H26" t="str">
        <v/>
      </c>
    </row>
    <row r="27">
      <c r="A27" t="str">
        <v>AC-006</v>
      </c>
      <c r="B27" t="str">
        <v>Admin comum</v>
      </c>
      <c r="C27" t="str">
        <v>Onboarding — oferta no primeiro acesso</v>
      </c>
      <c r="D27" t="str">
        <v>Rápido</v>
      </c>
      <c r="E27" t="str">
        <v>Confirmar que o tour de boas-vindas é oferecido automaticamente no primeiro acesso da conta.</v>
      </c>
      <c r="F27" t="str">
        <v>Baixo</v>
      </c>
      <c r="G27" t="str">
        <v/>
      </c>
      <c r="H27" t="str">
        <v/>
      </c>
    </row>
    <row r="28">
      <c r="A28" t="str">
        <v>AC-007</v>
      </c>
      <c r="B28" t="str">
        <v>Admin comum</v>
      </c>
      <c r="C28" t="str">
        <v>Onboarding — iniciar</v>
      </c>
      <c r="D28" t="str">
        <v>Rápido</v>
      </c>
      <c r="E28" t="str">
        <v>Confirmar que o botão "Começar" realmente inicia o tour guiado.</v>
      </c>
      <c r="F28" t="str">
        <v>Baixo</v>
      </c>
      <c r="G28" t="str">
        <v/>
      </c>
      <c r="H28" t="str">
        <v/>
      </c>
    </row>
    <row r="29">
      <c r="A29" t="str">
        <v>AC-008</v>
      </c>
      <c r="B29" t="str">
        <v>Admin comum</v>
      </c>
      <c r="C29" t="str">
        <v>Onboarding — adiar</v>
      </c>
      <c r="D29" t="str">
        <v>Completo</v>
      </c>
      <c r="E29" t="str">
        <v>Confirmar que "Agora não" adia a oferta sem marcar o tour como concluído.</v>
      </c>
      <c r="F29" t="str">
        <v>Baixo</v>
      </c>
      <c r="G29" t="str">
        <v/>
      </c>
      <c r="H29" t="str">
        <v/>
      </c>
    </row>
    <row r="30">
      <c r="A30" t="str">
        <v>AC-009</v>
      </c>
      <c r="B30" t="str">
        <v>Admin comum</v>
      </c>
      <c r="C30" t="str">
        <v>Onboarding — dispensar</v>
      </c>
      <c r="D30" t="str">
        <v>Completo</v>
      </c>
      <c r="E30" t="str">
        <v>Confirmar que "Não quero ver" dispensa a oferta automática definitivamente, mas nunca impede reabertura manual.</v>
      </c>
      <c r="F30" t="str">
        <v>Médio — evite fazer este teste sem necessidade, pois a decisão fica salva no servidor.</v>
      </c>
      <c r="G30" t="str">
        <v/>
      </c>
      <c r="H30" t="str">
        <v/>
      </c>
    </row>
    <row r="31">
      <c r="A31" t="str">
        <v>AC-010</v>
      </c>
      <c r="B31" t="str">
        <v>Admin comum</v>
      </c>
      <c r="C31" t="str">
        <v>Onboarding — retomar</v>
      </c>
      <c r="D31" t="str">
        <v>Rápido</v>
      </c>
      <c r="E31" t="str">
        <v>Confirmar que um tour interrompido no meio retoma exatamente do passo onde parou.</v>
      </c>
      <c r="F31" t="str">
        <v>Baixo</v>
      </c>
      <c r="G31" t="str">
        <v/>
      </c>
      <c r="H31" t="str">
        <v/>
      </c>
    </row>
    <row r="32">
      <c r="A32" t="str">
        <v>AC-011</v>
      </c>
      <c r="B32" t="str">
        <v>Admin comum</v>
      </c>
      <c r="C32" t="str">
        <v>Onboarding — concluir</v>
      </c>
      <c r="D32" t="str">
        <v>Completo</v>
      </c>
      <c r="E32" t="str">
        <v>Confirmar que é possível percorrer um tour do início ao fim e ele fica marcado como concluído.</v>
      </c>
      <c r="F32" t="str">
        <v>Baixo</v>
      </c>
      <c r="G32" t="str">
        <v/>
      </c>
      <c r="H32" t="str">
        <v/>
      </c>
    </row>
    <row r="33">
      <c r="A33" t="str">
        <v>AC-012</v>
      </c>
      <c r="B33" t="str">
        <v>Admin comum</v>
      </c>
      <c r="C33" t="str">
        <v>Onboarding — refazer</v>
      </c>
      <c r="D33" t="str">
        <v>Rápido</v>
      </c>
      <c r="E33" t="str">
        <v>Confirmar que um tour já concluído pode ser refeito pela Central de Ajuda sem perder o histórico.</v>
      </c>
      <c r="F33" t="str">
        <v>Baixo</v>
      </c>
      <c r="G33" t="str">
        <v/>
      </c>
      <c r="H33" t="str">
        <v/>
      </c>
    </row>
    <row r="34">
      <c r="A34" t="str">
        <v>AC-013</v>
      </c>
      <c r="B34" t="str">
        <v>Admin comum</v>
      </c>
      <c r="C34" t="str">
        <v>Permissão — Central de Ajuda</v>
      </c>
      <c r="D34" t="str">
        <v>Rápido</v>
      </c>
      <c r="E34" t="str">
        <v>Confirmar que a Central de Ajuda só lista tours que fazem sentido para este perfil.</v>
      </c>
      <c r="F34" t="str">
        <v>Baixo</v>
      </c>
      <c r="G34" t="str">
        <v/>
      </c>
      <c r="H34" t="str">
        <v/>
      </c>
    </row>
    <row r="35">
      <c r="A35" t="str">
        <v>AC-014</v>
      </c>
      <c r="B35" t="str">
        <v>Admin comum</v>
      </c>
      <c r="C35" t="str">
        <v>Onboarding — painel fechado</v>
      </c>
      <c r="D35" t="str">
        <v>Completo</v>
      </c>
      <c r="E35" t="str">
        <v>Confirmar que um tour que depende de um painel fechado (ex.: Alertas ou Notificações) orienta a abrir o painel em vez de travar ou pular o passo.</v>
      </c>
      <c r="F35" t="str">
        <v>Baixo</v>
      </c>
      <c r="G35" t="str">
        <v/>
      </c>
      <c r="H35" t="str">
        <v/>
      </c>
    </row>
    <row r="36">
      <c r="A36" t="str">
        <v>AC-015</v>
      </c>
      <c r="B36" t="str">
        <v>Admin comum</v>
      </c>
      <c r="C36" t="str">
        <v>Onboarding — sem dados abertos</v>
      </c>
      <c r="D36" t="str">
        <v>Completo</v>
      </c>
      <c r="E36" t="str">
        <v>Confirmar que um tour que depende de um projeto/registro aberto explica a situação quando não há nenhum aberto, em vez de travar ou ensinar uma ação impossível.</v>
      </c>
      <c r="F36" t="str">
        <v>Baixo</v>
      </c>
      <c r="G36" t="str">
        <v/>
      </c>
      <c r="H36" t="str">
        <v/>
      </c>
    </row>
    <row r="37">
      <c r="A37" t="str">
        <v>AC-016</v>
      </c>
      <c r="B37" t="str">
        <v>Admin comum</v>
      </c>
      <c r="C37" t="str">
        <v>Persistência após F5</v>
      </c>
      <c r="D37" t="str">
        <v>Rápido</v>
      </c>
      <c r="E37" t="str">
        <v>Confirmar que um tour em andamento retoma do mesmo passo depois de recarregar a página.</v>
      </c>
      <c r="F37" t="str">
        <v>Baixo</v>
      </c>
      <c r="G37" t="str">
        <v/>
      </c>
      <c r="H37" t="str">
        <v/>
      </c>
    </row>
    <row r="38">
      <c r="A38" t="str">
        <v>AC-017</v>
      </c>
      <c r="B38" t="str">
        <v>Admin comum</v>
      </c>
      <c r="C38" t="str">
        <v>Permissão — ações visíveis</v>
      </c>
      <c r="D38" t="str">
        <v>Completo</v>
      </c>
      <c r="E38" t="str">
        <v>Confirmar que os botões e ações visíveis na tela fazem sentido para este perfil — nada que essa conta não pode fazer aparece.</v>
      </c>
      <c r="F38" t="str">
        <v>Baixo</v>
      </c>
      <c r="G38" t="str">
        <v/>
      </c>
      <c r="H38" t="str">
        <v/>
      </c>
    </row>
    <row r="39">
      <c r="A39" t="str">
        <v>AC-018</v>
      </c>
      <c r="B39" t="str">
        <v>Admin comum</v>
      </c>
      <c r="C39" t="str">
        <v>Fronteira de permissão — Legacy ausente</v>
      </c>
      <c r="D39" t="str">
        <v>Rápido</v>
      </c>
      <c r="E39" t="str">
        <v>Provar que o item de menu "Legacy" NÃO aparece para Admin comum — é exclusivo do Admin Master.</v>
      </c>
      <c r="F39" t="str">
        <v>Baixo</v>
      </c>
      <c r="G39" t="str">
        <v/>
      </c>
      <c r="H39" t="str">
        <v/>
      </c>
    </row>
    <row r="40">
      <c r="A40" t="str">
        <v>AC-019</v>
      </c>
      <c r="B40" t="str">
        <v>Admin comum</v>
      </c>
      <c r="C40" t="str">
        <v>Fronteira de permissão — Legacy bloqueado por URL</v>
      </c>
      <c r="D40" t="str">
        <v>Completo</v>
      </c>
      <c r="E40" t="str">
        <v>Provar que, mesmo tentando acessar a URL de Legacy diretamente, o Admin comum é bloqueado.</v>
      </c>
      <c r="F40" t="str">
        <v>Baixo</v>
      </c>
      <c r="G40" t="str">
        <v/>
      </c>
      <c r="H40" t="str">
        <v/>
      </c>
    </row>
    <row r="41">
      <c r="A41" t="str">
        <v>AC-020</v>
      </c>
      <c r="B41" t="str">
        <v>Admin comum</v>
      </c>
      <c r="C41" t="str">
        <v>Fronteira de permissão — Administração de Alertas ausente</v>
      </c>
      <c r="D41" t="str">
        <v>Rápido</v>
      </c>
      <c r="E41" t="str">
        <v>Provar que a aba "Gerenciar" do painel de Alertas (Padrões/Regras/Programados/Avulsos) não aparece para Admin comum.</v>
      </c>
      <c r="F41" t="str">
        <v>Baixo</v>
      </c>
      <c r="G41" t="str">
        <v/>
      </c>
      <c r="H41" t="str">
        <v/>
      </c>
    </row>
    <row r="42">
      <c r="A42" t="str">
        <v>AC-021</v>
      </c>
      <c r="B42" t="str">
        <v>Admin comum</v>
      </c>
      <c r="C42" t="str">
        <v>O que É acessível ao Admin comum</v>
      </c>
      <c r="D42" t="str">
        <v>Completo</v>
      </c>
      <c r="E42" t="str">
        <v>Confirmar positivamente quais telas operacionais de admin SÃO acessíveis a esta conta (não é só uma lista de proibições).</v>
      </c>
      <c r="F42" t="str">
        <v>Baixo</v>
      </c>
      <c r="G42" t="str">
        <v/>
      </c>
      <c r="H42" t="str">
        <v/>
      </c>
    </row>
    <row r="43">
      <c r="A43" t="str">
        <v>CO-001</v>
      </c>
      <c r="B43" t="str">
        <v>Empresa (Company)</v>
      </c>
      <c r="C43" t="str">
        <v>Layout geral</v>
      </c>
      <c r="D43" t="str">
        <v>Rápido</v>
      </c>
      <c r="E43" t="str">
        <v>Confirmar que a tela inicial do perfil carrega sem elementos quebrados, cortados ou fora do lugar.</v>
      </c>
      <c r="F43" t="str">
        <v>Baixo</v>
      </c>
      <c r="G43" t="str">
        <v/>
      </c>
      <c r="H43" t="str">
        <v/>
      </c>
    </row>
    <row r="44">
      <c r="A44" t="str">
        <v>CO-002</v>
      </c>
      <c r="B44" t="str">
        <v>Empresa (Company)</v>
      </c>
      <c r="C44" t="str">
        <v>Textos e clareza</v>
      </c>
      <c r="D44" t="str">
        <v>Completo</v>
      </c>
      <c r="E44" t="str">
        <v>Confirmar que os textos da tela estão em português correto, sem termo técnico interno nem frase confusa.</v>
      </c>
      <c r="F44" t="str">
        <v>Baixo</v>
      </c>
      <c r="G44" t="str">
        <v/>
      </c>
      <c r="H44" t="str">
        <v/>
      </c>
    </row>
    <row r="45">
      <c r="A45" t="str">
        <v>CO-003</v>
      </c>
      <c r="B45" t="str">
        <v>Empresa (Company)</v>
      </c>
      <c r="C45" t="str">
        <v>Botões</v>
      </c>
      <c r="D45" t="str">
        <v>Completo</v>
      </c>
      <c r="E45" t="str">
        <v>Confirmar que os botões têm nome completo, são clicáveis e fazem o que dizem.</v>
      </c>
      <c r="F45" t="str">
        <v>Baixo</v>
      </c>
      <c r="G45" t="str">
        <v/>
      </c>
      <c r="H45" t="str">
        <v/>
      </c>
    </row>
    <row r="46">
      <c r="A46" t="str">
        <v>CO-004</v>
      </c>
      <c r="B46" t="str">
        <v>Empresa (Company)</v>
      </c>
      <c r="C46" t="str">
        <v>Filtros e busca</v>
      </c>
      <c r="D46" t="str">
        <v>Completo</v>
      </c>
      <c r="E46" t="str">
        <v>Confirmar que os filtros e a busca (quando existirem na tela) retornam um resultado coerente.</v>
      </c>
      <c r="F46" t="str">
        <v>Baixo</v>
      </c>
      <c r="G46" t="str">
        <v/>
      </c>
      <c r="H46" t="str">
        <v/>
      </c>
    </row>
    <row r="47">
      <c r="A47" t="str">
        <v>CO-005</v>
      </c>
      <c r="B47" t="str">
        <v>Empresa (Company)</v>
      </c>
      <c r="C47" t="str">
        <v>Modais e painéis</v>
      </c>
      <c r="D47" t="str">
        <v>Rápido</v>
      </c>
      <c r="E47" t="str">
        <v>Confirmar que modais e painéis abrem e fecham sem travar a tela, sem sobrepor conteúdo indevido.</v>
      </c>
      <c r="F47" t="str">
        <v>Baixo</v>
      </c>
      <c r="G47" t="str">
        <v/>
      </c>
      <c r="H47" t="str">
        <v/>
      </c>
    </row>
    <row r="48">
      <c r="A48" t="str">
        <v>CO-006</v>
      </c>
      <c r="B48" t="str">
        <v>Empresa (Company)</v>
      </c>
      <c r="C48" t="str">
        <v>Onboarding — oferta no primeiro acesso</v>
      </c>
      <c r="D48" t="str">
        <v>Rápido</v>
      </c>
      <c r="E48" t="str">
        <v>Confirmar que o tour de boas-vindas é oferecido automaticamente no primeiro acesso da conta.</v>
      </c>
      <c r="F48" t="str">
        <v>Baixo</v>
      </c>
      <c r="G48" t="str">
        <v/>
      </c>
      <c r="H48" t="str">
        <v/>
      </c>
    </row>
    <row r="49">
      <c r="A49" t="str">
        <v>CO-007</v>
      </c>
      <c r="B49" t="str">
        <v>Empresa (Company)</v>
      </c>
      <c r="C49" t="str">
        <v>Onboarding — iniciar</v>
      </c>
      <c r="D49" t="str">
        <v>Rápido</v>
      </c>
      <c r="E49" t="str">
        <v>Confirmar que o botão "Começar" realmente inicia o tour guiado.</v>
      </c>
      <c r="F49" t="str">
        <v>Baixo</v>
      </c>
      <c r="G49" t="str">
        <v/>
      </c>
      <c r="H49" t="str">
        <v/>
      </c>
    </row>
    <row r="50">
      <c r="A50" t="str">
        <v>CO-008</v>
      </c>
      <c r="B50" t="str">
        <v>Empresa (Company)</v>
      </c>
      <c r="C50" t="str">
        <v>Onboarding — adiar</v>
      </c>
      <c r="D50" t="str">
        <v>Completo</v>
      </c>
      <c r="E50" t="str">
        <v>Confirmar que "Agora não" adia a oferta sem marcar o tour como concluído.</v>
      </c>
      <c r="F50" t="str">
        <v>Baixo</v>
      </c>
      <c r="G50" t="str">
        <v/>
      </c>
      <c r="H50" t="str">
        <v/>
      </c>
    </row>
    <row r="51">
      <c r="A51" t="str">
        <v>CO-009</v>
      </c>
      <c r="B51" t="str">
        <v>Empresa (Company)</v>
      </c>
      <c r="C51" t="str">
        <v>Onboarding — dispensar</v>
      </c>
      <c r="D51" t="str">
        <v>Completo</v>
      </c>
      <c r="E51" t="str">
        <v>Confirmar que "Não quero ver" dispensa a oferta automática definitivamente, mas nunca impede reabertura manual.</v>
      </c>
      <c r="F51" t="str">
        <v>Médio — evite fazer este teste sem necessidade, pois a decisão fica salva no servidor.</v>
      </c>
      <c r="G51" t="str">
        <v/>
      </c>
      <c r="H51" t="str">
        <v/>
      </c>
    </row>
    <row r="52">
      <c r="A52" t="str">
        <v>CO-010</v>
      </c>
      <c r="B52" t="str">
        <v>Empresa (Company)</v>
      </c>
      <c r="C52" t="str">
        <v>Onboarding — retomar</v>
      </c>
      <c r="D52" t="str">
        <v>Rápido</v>
      </c>
      <c r="E52" t="str">
        <v>Confirmar que um tour interrompido no meio retoma exatamente do passo onde parou.</v>
      </c>
      <c r="F52" t="str">
        <v>Baixo</v>
      </c>
      <c r="G52" t="str">
        <v/>
      </c>
      <c r="H52" t="str">
        <v/>
      </c>
    </row>
    <row r="53">
      <c r="A53" t="str">
        <v>CO-011</v>
      </c>
      <c r="B53" t="str">
        <v>Empresa (Company)</v>
      </c>
      <c r="C53" t="str">
        <v>Onboarding — concluir</v>
      </c>
      <c r="D53" t="str">
        <v>Completo</v>
      </c>
      <c r="E53" t="str">
        <v>Confirmar que é possível percorrer um tour do início ao fim e ele fica marcado como concluído.</v>
      </c>
      <c r="F53" t="str">
        <v>Baixo</v>
      </c>
      <c r="G53" t="str">
        <v/>
      </c>
      <c r="H53" t="str">
        <v/>
      </c>
    </row>
    <row r="54">
      <c r="A54" t="str">
        <v>CO-012</v>
      </c>
      <c r="B54" t="str">
        <v>Empresa (Company)</v>
      </c>
      <c r="C54" t="str">
        <v>Onboarding — refazer</v>
      </c>
      <c r="D54" t="str">
        <v>Rápido</v>
      </c>
      <c r="E54" t="str">
        <v>Confirmar que um tour já concluído pode ser refeito pela Central de Ajuda sem perder o histórico.</v>
      </c>
      <c r="F54" t="str">
        <v>Baixo</v>
      </c>
      <c r="G54" t="str">
        <v/>
      </c>
      <c r="H54" t="str">
        <v/>
      </c>
    </row>
    <row r="55">
      <c r="A55" t="str">
        <v>CO-013</v>
      </c>
      <c r="B55" t="str">
        <v>Empresa (Company)</v>
      </c>
      <c r="C55" t="str">
        <v>Permissão — Central de Ajuda</v>
      </c>
      <c r="D55" t="str">
        <v>Rápido</v>
      </c>
      <c r="E55" t="str">
        <v>Confirmar que a Central de Ajuda só lista tours que fazem sentido para este perfil.</v>
      </c>
      <c r="F55" t="str">
        <v>Baixo</v>
      </c>
      <c r="G55" t="str">
        <v/>
      </c>
      <c r="H55" t="str">
        <v/>
      </c>
    </row>
    <row r="56">
      <c r="A56" t="str">
        <v>CO-014</v>
      </c>
      <c r="B56" t="str">
        <v>Empresa (Company)</v>
      </c>
      <c r="C56" t="str">
        <v>Onboarding — painel fechado</v>
      </c>
      <c r="D56" t="str">
        <v>Completo</v>
      </c>
      <c r="E56" t="str">
        <v>Confirmar que um tour que depende de um painel fechado (ex.: Alertas ou Notificações) orienta a abrir o painel em vez de travar ou pular o passo.</v>
      </c>
      <c r="F56" t="str">
        <v>Baixo</v>
      </c>
      <c r="G56" t="str">
        <v/>
      </c>
      <c r="H56" t="str">
        <v/>
      </c>
    </row>
    <row r="57">
      <c r="A57" t="str">
        <v>CO-015</v>
      </c>
      <c r="B57" t="str">
        <v>Empresa (Company)</v>
      </c>
      <c r="C57" t="str">
        <v>Onboarding — sem dados abertos</v>
      </c>
      <c r="D57" t="str">
        <v>Completo</v>
      </c>
      <c r="E57" t="str">
        <v>Confirmar que um tour que depende de um projeto/registro aberto explica a situação quando não há nenhum aberto, em vez de travar ou ensinar uma ação impossível.</v>
      </c>
      <c r="F57" t="str">
        <v>Baixo</v>
      </c>
      <c r="G57" t="str">
        <v/>
      </c>
      <c r="H57" t="str">
        <v/>
      </c>
    </row>
    <row r="58">
      <c r="A58" t="str">
        <v>CO-016</v>
      </c>
      <c r="B58" t="str">
        <v>Empresa (Company)</v>
      </c>
      <c r="C58" t="str">
        <v>Persistência após F5</v>
      </c>
      <c r="D58" t="str">
        <v>Rápido</v>
      </c>
      <c r="E58" t="str">
        <v>Confirmar que um tour em andamento retoma do mesmo passo depois de recarregar a página.</v>
      </c>
      <c r="F58" t="str">
        <v>Baixo</v>
      </c>
      <c r="G58" t="str">
        <v/>
      </c>
      <c r="H58" t="str">
        <v/>
      </c>
    </row>
    <row r="59">
      <c r="A59" t="str">
        <v>CO-017</v>
      </c>
      <c r="B59" t="str">
        <v>Empresa (Company)</v>
      </c>
      <c r="C59" t="str">
        <v>Permissão — ações visíveis</v>
      </c>
      <c r="D59" t="str">
        <v>Completo</v>
      </c>
      <c r="E59" t="str">
        <v>Confirmar que os botões e ações visíveis na tela fazem sentido para este perfil — nada que essa conta não pode fazer aparece.</v>
      </c>
      <c r="F59" t="str">
        <v>Baixo</v>
      </c>
      <c r="G59" t="str">
        <v/>
      </c>
      <c r="H59" t="str">
        <v/>
      </c>
    </row>
    <row r="60">
      <c r="A60" t="str">
        <v>CO-018</v>
      </c>
      <c r="B60" t="str">
        <v>Empresa (Company)</v>
      </c>
      <c r="C60" t="str">
        <v>Catálogo — configurar e cotar</v>
      </c>
      <c r="D60" t="str">
        <v>Completo</v>
      </c>
      <c r="E60" t="str">
        <v>Confirmar que é possível abrir o produto de teste do catálogo, configurar uma variação e ver o preço recalculado.</v>
      </c>
      <c r="F60" t="str">
        <v>Baixo</v>
      </c>
      <c r="G60" t="str">
        <v/>
      </c>
      <c r="H60" t="str">
        <v/>
      </c>
    </row>
    <row r="61">
      <c r="A61" t="str">
        <v>CO-019</v>
      </c>
      <c r="B61" t="str">
        <v>Empresa (Company)</v>
      </c>
      <c r="C61" t="str">
        <v>Pedido de teste — projeto e memória</v>
      </c>
      <c r="D61" t="str">
        <v>Completo</v>
      </c>
      <c r="E61" t="str">
        <v>Confirmar que o pedido/projeto de teste já existente é visível, junto com sua Memória.</v>
      </c>
      <c r="F61" t="str">
        <v>Baixo</v>
      </c>
      <c r="G61" t="str">
        <v/>
      </c>
      <c r="H61" t="str">
        <v/>
      </c>
    </row>
    <row r="62">
      <c r="A62" t="str">
        <v>CO-020</v>
      </c>
      <c r="B62" t="str">
        <v>Empresa (Company)</v>
      </c>
      <c r="C62" t="str">
        <v>Solicitar aditivo</v>
      </c>
      <c r="D62" t="str">
        <v>Completo</v>
      </c>
      <c r="E62" t="str">
        <v>Confirmar que é possível abrir a tela de solicitação de aditivo a partir do projeto de teste.</v>
      </c>
      <c r="F62" t="str">
        <v>Médio se a solicitação for enviada até o fim.</v>
      </c>
      <c r="G62" t="str">
        <v/>
      </c>
      <c r="H62" t="str">
        <v/>
      </c>
    </row>
    <row r="63">
      <c r="A63" t="str">
        <v>AG-001</v>
      </c>
      <c r="B63" t="str">
        <v>Agência (Agency)</v>
      </c>
      <c r="C63" t="str">
        <v>Layout geral</v>
      </c>
      <c r="D63" t="str">
        <v>Rápido</v>
      </c>
      <c r="E63" t="str">
        <v>Confirmar que a tela inicial do perfil carrega sem elementos quebrados, cortados ou fora do lugar.</v>
      </c>
      <c r="F63" t="str">
        <v>Baixo</v>
      </c>
      <c r="G63" t="str">
        <v/>
      </c>
      <c r="H63" t="str">
        <v/>
      </c>
    </row>
    <row r="64">
      <c r="A64" t="str">
        <v>AG-002</v>
      </c>
      <c r="B64" t="str">
        <v>Agência (Agency)</v>
      </c>
      <c r="C64" t="str">
        <v>Textos e clareza</v>
      </c>
      <c r="D64" t="str">
        <v>Completo</v>
      </c>
      <c r="E64" t="str">
        <v>Confirmar que os textos da tela estão em português correto, sem termo técnico interno nem frase confusa.</v>
      </c>
      <c r="F64" t="str">
        <v>Baixo</v>
      </c>
      <c r="G64" t="str">
        <v/>
      </c>
      <c r="H64" t="str">
        <v/>
      </c>
    </row>
    <row r="65">
      <c r="A65" t="str">
        <v>AG-003</v>
      </c>
      <c r="B65" t="str">
        <v>Agência (Agency)</v>
      </c>
      <c r="C65" t="str">
        <v>Botões</v>
      </c>
      <c r="D65" t="str">
        <v>Completo</v>
      </c>
      <c r="E65" t="str">
        <v>Confirmar que os botões têm nome completo, são clicáveis e fazem o que dizem.</v>
      </c>
      <c r="F65" t="str">
        <v>Baixo</v>
      </c>
      <c r="G65" t="str">
        <v/>
      </c>
      <c r="H65" t="str">
        <v/>
      </c>
    </row>
    <row r="66">
      <c r="A66" t="str">
        <v>AG-004</v>
      </c>
      <c r="B66" t="str">
        <v>Agência (Agency)</v>
      </c>
      <c r="C66" t="str">
        <v>Filtros e busca</v>
      </c>
      <c r="D66" t="str">
        <v>Completo</v>
      </c>
      <c r="E66" t="str">
        <v>Confirmar que os filtros e a busca (quando existirem na tela) retornam um resultado coerente.</v>
      </c>
      <c r="F66" t="str">
        <v>Baixo</v>
      </c>
      <c r="G66" t="str">
        <v/>
      </c>
      <c r="H66" t="str">
        <v/>
      </c>
    </row>
    <row r="67">
      <c r="A67" t="str">
        <v>AG-005</v>
      </c>
      <c r="B67" t="str">
        <v>Agência (Agency)</v>
      </c>
      <c r="C67" t="str">
        <v>Modais e painéis</v>
      </c>
      <c r="D67" t="str">
        <v>Rápido</v>
      </c>
      <c r="E67" t="str">
        <v>Confirmar que modais e painéis abrem e fecham sem travar a tela, sem sobrepor conteúdo indevido.</v>
      </c>
      <c r="F67" t="str">
        <v>Baixo</v>
      </c>
      <c r="G67" t="str">
        <v/>
      </c>
      <c r="H67" t="str">
        <v/>
      </c>
    </row>
    <row r="68">
      <c r="A68" t="str">
        <v>AG-006</v>
      </c>
      <c r="B68" t="str">
        <v>Agência (Agency)</v>
      </c>
      <c r="C68" t="str">
        <v>Onboarding — oferta no primeiro acesso</v>
      </c>
      <c r="D68" t="str">
        <v>Rápido</v>
      </c>
      <c r="E68" t="str">
        <v>Confirmar que o tour de boas-vindas é oferecido automaticamente no primeiro acesso da conta.</v>
      </c>
      <c r="F68" t="str">
        <v>Baixo</v>
      </c>
      <c r="G68" t="str">
        <v/>
      </c>
      <c r="H68" t="str">
        <v/>
      </c>
    </row>
    <row r="69">
      <c r="A69" t="str">
        <v>AG-007</v>
      </c>
      <c r="B69" t="str">
        <v>Agência (Agency)</v>
      </c>
      <c r="C69" t="str">
        <v>Onboarding — iniciar</v>
      </c>
      <c r="D69" t="str">
        <v>Rápido</v>
      </c>
      <c r="E69" t="str">
        <v>Confirmar que o botão "Começar" realmente inicia o tour guiado.</v>
      </c>
      <c r="F69" t="str">
        <v>Baixo</v>
      </c>
      <c r="G69" t="str">
        <v/>
      </c>
      <c r="H69" t="str">
        <v/>
      </c>
    </row>
    <row r="70">
      <c r="A70" t="str">
        <v>AG-008</v>
      </c>
      <c r="B70" t="str">
        <v>Agência (Agency)</v>
      </c>
      <c r="C70" t="str">
        <v>Onboarding — adiar</v>
      </c>
      <c r="D70" t="str">
        <v>Completo</v>
      </c>
      <c r="E70" t="str">
        <v>Confirmar que "Agora não" adia a oferta sem marcar o tour como concluído.</v>
      </c>
      <c r="F70" t="str">
        <v>Baixo</v>
      </c>
      <c r="G70" t="str">
        <v/>
      </c>
      <c r="H70" t="str">
        <v/>
      </c>
    </row>
    <row r="71">
      <c r="A71" t="str">
        <v>AG-009</v>
      </c>
      <c r="B71" t="str">
        <v>Agência (Agency)</v>
      </c>
      <c r="C71" t="str">
        <v>Onboarding — dispensar</v>
      </c>
      <c r="D71" t="str">
        <v>Completo</v>
      </c>
      <c r="E71" t="str">
        <v>Confirmar que "Não quero ver" dispensa a oferta automática definitivamente, mas nunca impede reabertura manual.</v>
      </c>
      <c r="F71" t="str">
        <v>Médio — evite fazer este teste sem necessidade, pois a decisão fica salva no servidor.</v>
      </c>
      <c r="G71" t="str">
        <v/>
      </c>
      <c r="H71" t="str">
        <v/>
      </c>
    </row>
    <row r="72">
      <c r="A72" t="str">
        <v>AG-010</v>
      </c>
      <c r="B72" t="str">
        <v>Agência (Agency)</v>
      </c>
      <c r="C72" t="str">
        <v>Onboarding — retomar</v>
      </c>
      <c r="D72" t="str">
        <v>Rápido</v>
      </c>
      <c r="E72" t="str">
        <v>Confirmar que um tour interrompido no meio retoma exatamente do passo onde parou.</v>
      </c>
      <c r="F72" t="str">
        <v>Baixo</v>
      </c>
      <c r="G72" t="str">
        <v/>
      </c>
      <c r="H72" t="str">
        <v/>
      </c>
    </row>
    <row r="73">
      <c r="A73" t="str">
        <v>AG-011</v>
      </c>
      <c r="B73" t="str">
        <v>Agência (Agency)</v>
      </c>
      <c r="C73" t="str">
        <v>Onboarding — concluir</v>
      </c>
      <c r="D73" t="str">
        <v>Completo</v>
      </c>
      <c r="E73" t="str">
        <v>Confirmar que é possível percorrer um tour do início ao fim e ele fica marcado como concluído.</v>
      </c>
      <c r="F73" t="str">
        <v>Baixo</v>
      </c>
      <c r="G73" t="str">
        <v/>
      </c>
      <c r="H73" t="str">
        <v/>
      </c>
    </row>
    <row r="74">
      <c r="A74" t="str">
        <v>AG-012</v>
      </c>
      <c r="B74" t="str">
        <v>Agência (Agency)</v>
      </c>
      <c r="C74" t="str">
        <v>Onboarding — refazer</v>
      </c>
      <c r="D74" t="str">
        <v>Rápido</v>
      </c>
      <c r="E74" t="str">
        <v>Confirmar que um tour já concluído pode ser refeito pela Central de Ajuda sem perder o histórico.</v>
      </c>
      <c r="F74" t="str">
        <v>Baixo</v>
      </c>
      <c r="G74" t="str">
        <v/>
      </c>
      <c r="H74" t="str">
        <v/>
      </c>
    </row>
    <row r="75">
      <c r="A75" t="str">
        <v>AG-013</v>
      </c>
      <c r="B75" t="str">
        <v>Agência (Agency)</v>
      </c>
      <c r="C75" t="str">
        <v>Permissão — Central de Ajuda</v>
      </c>
      <c r="D75" t="str">
        <v>Rápido</v>
      </c>
      <c r="E75" t="str">
        <v>Confirmar que a Central de Ajuda só lista tours que fazem sentido para este perfil.</v>
      </c>
      <c r="F75" t="str">
        <v>Baixo</v>
      </c>
      <c r="G75" t="str">
        <v/>
      </c>
      <c r="H75" t="str">
        <v/>
      </c>
    </row>
    <row r="76">
      <c r="A76" t="str">
        <v>AG-014</v>
      </c>
      <c r="B76" t="str">
        <v>Agência (Agency)</v>
      </c>
      <c r="C76" t="str">
        <v>Onboarding — painel fechado</v>
      </c>
      <c r="D76" t="str">
        <v>Completo</v>
      </c>
      <c r="E76" t="str">
        <v>Confirmar que um tour que depende de um painel fechado (ex.: Alertas ou Notificações) orienta a abrir o painel em vez de travar ou pular o passo.</v>
      </c>
      <c r="F76" t="str">
        <v>Baixo</v>
      </c>
      <c r="G76" t="str">
        <v/>
      </c>
      <c r="H76" t="str">
        <v/>
      </c>
    </row>
    <row r="77">
      <c r="A77" t="str">
        <v>AG-015</v>
      </c>
      <c r="B77" t="str">
        <v>Agência (Agency)</v>
      </c>
      <c r="C77" t="str">
        <v>Onboarding — sem dados abertos</v>
      </c>
      <c r="D77" t="str">
        <v>Completo</v>
      </c>
      <c r="E77" t="str">
        <v>Confirmar que um tour que depende de um projeto/registro aberto explica a situação quando não há nenhum aberto, em vez de travar ou ensinar uma ação impossível.</v>
      </c>
      <c r="F77" t="str">
        <v>Baixo</v>
      </c>
      <c r="G77" t="str">
        <v/>
      </c>
      <c r="H77" t="str">
        <v/>
      </c>
    </row>
    <row r="78">
      <c r="A78" t="str">
        <v>AG-016</v>
      </c>
      <c r="B78" t="str">
        <v>Agência (Agency)</v>
      </c>
      <c r="C78" t="str">
        <v>Persistência após F5</v>
      </c>
      <c r="D78" t="str">
        <v>Rápido</v>
      </c>
      <c r="E78" t="str">
        <v>Confirmar que um tour em andamento retoma do mesmo passo depois de recarregar a página.</v>
      </c>
      <c r="F78" t="str">
        <v>Baixo</v>
      </c>
      <c r="G78" t="str">
        <v/>
      </c>
      <c r="H78" t="str">
        <v/>
      </c>
    </row>
    <row r="79">
      <c r="A79" t="str">
        <v>AG-017</v>
      </c>
      <c r="B79" t="str">
        <v>Agência (Agency)</v>
      </c>
      <c r="C79" t="str">
        <v>Permissão — ações visíveis</v>
      </c>
      <c r="D79" t="str">
        <v>Completo</v>
      </c>
      <c r="E79" t="str">
        <v>Confirmar que os botões e ações visíveis na tela fazem sentido para este perfil — nada que essa conta não pode fazer aparece.</v>
      </c>
      <c r="F79" t="str">
        <v>Baixo</v>
      </c>
      <c r="G79" t="str">
        <v/>
      </c>
      <c r="H79" t="str">
        <v/>
      </c>
    </row>
    <row r="80">
      <c r="A80" t="str">
        <v>AG-018</v>
      </c>
      <c r="B80" t="str">
        <v>Agência (Agency)</v>
      </c>
      <c r="C80" t="str">
        <v>Catálogo — configurar e cotar</v>
      </c>
      <c r="D80" t="str">
        <v>Completo</v>
      </c>
      <c r="E80" t="str">
        <v>Confirmar que é possível abrir o produto de teste do catálogo do lado da Agência, configurar uma variação e ver o preço recalculado.</v>
      </c>
      <c r="F80" t="str">
        <v>Baixo</v>
      </c>
      <c r="G80" t="str">
        <v/>
      </c>
      <c r="H80" t="str">
        <v/>
      </c>
    </row>
    <row r="81">
      <c r="A81" t="str">
        <v>AG-019</v>
      </c>
      <c r="B81" t="str">
        <v>Agência (Agency)</v>
      </c>
      <c r="C81" t="str">
        <v>Isolamento — nunca ver dado da Empresa</v>
      </c>
      <c r="D81" t="str">
        <v>Rápido</v>
      </c>
      <c r="E81" t="str">
        <v>Confirmar visualmente que esta conta nunca mostra o pedido/projeto de teste da Empresa (isso já foi confirmado por chamada direta à API antes deste documento).</v>
      </c>
      <c r="F81" t="str">
        <v>Baixo</v>
      </c>
      <c r="G81" t="str">
        <v/>
      </c>
      <c r="H81" t="str">
        <v/>
      </c>
    </row>
    <row r="82">
      <c r="A82" t="str">
        <v>AG-020</v>
      </c>
      <c r="B82" t="str">
        <v>Agência (Agency)</v>
      </c>
      <c r="C82" t="str">
        <v>Solicitar aditivo</v>
      </c>
      <c r="D82" t="str">
        <v>Completo</v>
      </c>
      <c r="E82" t="str">
        <v>Confirmar que é possível abrir a tela de solicitação de aditivo a partir de um projeto próprio da Agência, se existir.</v>
      </c>
      <c r="F82" t="str">
        <v>Baixo</v>
      </c>
      <c r="G82" t="str">
        <v/>
      </c>
      <c r="H82" t="str">
        <v/>
      </c>
    </row>
    <row r="83">
      <c r="A83" t="str">
        <v>PA-001</v>
      </c>
      <c r="B83" t="str">
        <v>Partner (upgrade de Agência)</v>
      </c>
      <c r="C83" t="str">
        <v>Layout geral</v>
      </c>
      <c r="D83" t="str">
        <v>Rápido</v>
      </c>
      <c r="E83" t="str">
        <v>Confirmar que a tela inicial do perfil carrega sem elementos quebrados, cortados ou fora do lugar.</v>
      </c>
      <c r="F83" t="str">
        <v>Baixo</v>
      </c>
      <c r="G83" t="str">
        <v/>
      </c>
      <c r="H83" t="str">
        <v/>
      </c>
    </row>
    <row r="84">
      <c r="A84" t="str">
        <v>PA-002</v>
      </c>
      <c r="B84" t="str">
        <v>Partner (upgrade de Agência)</v>
      </c>
      <c r="C84" t="str">
        <v>Textos e clareza</v>
      </c>
      <c r="D84" t="str">
        <v>Completo</v>
      </c>
      <c r="E84" t="str">
        <v>Confirmar que os textos da tela estão em português correto, sem termo técnico interno nem frase confusa.</v>
      </c>
      <c r="F84" t="str">
        <v>Baixo</v>
      </c>
      <c r="G84" t="str">
        <v/>
      </c>
      <c r="H84" t="str">
        <v/>
      </c>
    </row>
    <row r="85">
      <c r="A85" t="str">
        <v>PA-003</v>
      </c>
      <c r="B85" t="str">
        <v>Partner (upgrade de Agência)</v>
      </c>
      <c r="C85" t="str">
        <v>Botões</v>
      </c>
      <c r="D85" t="str">
        <v>Completo</v>
      </c>
      <c r="E85" t="str">
        <v>Confirmar que os botões têm nome completo, são clicáveis e fazem o que dizem.</v>
      </c>
      <c r="F85" t="str">
        <v>Baixo</v>
      </c>
      <c r="G85" t="str">
        <v/>
      </c>
      <c r="H85" t="str">
        <v/>
      </c>
    </row>
    <row r="86">
      <c r="A86" t="str">
        <v>PA-004</v>
      </c>
      <c r="B86" t="str">
        <v>Partner (upgrade de Agência)</v>
      </c>
      <c r="C86" t="str">
        <v>Filtros e busca</v>
      </c>
      <c r="D86" t="str">
        <v>Completo</v>
      </c>
      <c r="E86" t="str">
        <v>Confirmar que os filtros e a busca (quando existirem na tela) retornam um resultado coerente.</v>
      </c>
      <c r="F86" t="str">
        <v>Baixo</v>
      </c>
      <c r="G86" t="str">
        <v/>
      </c>
      <c r="H86" t="str">
        <v/>
      </c>
    </row>
    <row r="87">
      <c r="A87" t="str">
        <v>PA-005</v>
      </c>
      <c r="B87" t="str">
        <v>Partner (upgrade de Agência)</v>
      </c>
      <c r="C87" t="str">
        <v>Modais e painéis</v>
      </c>
      <c r="D87" t="str">
        <v>Rápido</v>
      </c>
      <c r="E87" t="str">
        <v>Confirmar que modais e painéis abrem e fecham sem travar a tela, sem sobrepor conteúdo indevido.</v>
      </c>
      <c r="F87" t="str">
        <v>Baixo</v>
      </c>
      <c r="G87" t="str">
        <v/>
      </c>
      <c r="H87" t="str">
        <v/>
      </c>
    </row>
    <row r="88">
      <c r="A88" t="str">
        <v>PA-006</v>
      </c>
      <c r="B88" t="str">
        <v>Partner (upgrade de Agência)</v>
      </c>
      <c r="C88" t="str">
        <v>Onboarding — oferta no primeiro acesso</v>
      </c>
      <c r="D88" t="str">
        <v>Rápido</v>
      </c>
      <c r="E88" t="str">
        <v>Confirmar que o tour de boas-vindas é oferecido automaticamente no primeiro acesso da conta.</v>
      </c>
      <c r="F88" t="str">
        <v>Baixo</v>
      </c>
      <c r="G88" t="str">
        <v/>
      </c>
      <c r="H88" t="str">
        <v/>
      </c>
    </row>
    <row r="89">
      <c r="A89" t="str">
        <v>PA-007</v>
      </c>
      <c r="B89" t="str">
        <v>Partner (upgrade de Agência)</v>
      </c>
      <c r="C89" t="str">
        <v>Onboarding — iniciar</v>
      </c>
      <c r="D89" t="str">
        <v>Rápido</v>
      </c>
      <c r="E89" t="str">
        <v>Confirmar que o botão "Começar" realmente inicia o tour guiado.</v>
      </c>
      <c r="F89" t="str">
        <v>Baixo</v>
      </c>
      <c r="G89" t="str">
        <v/>
      </c>
      <c r="H89" t="str">
        <v/>
      </c>
    </row>
    <row r="90">
      <c r="A90" t="str">
        <v>PA-008</v>
      </c>
      <c r="B90" t="str">
        <v>Partner (upgrade de Agência)</v>
      </c>
      <c r="C90" t="str">
        <v>Onboarding — adiar</v>
      </c>
      <c r="D90" t="str">
        <v>Completo</v>
      </c>
      <c r="E90" t="str">
        <v>Confirmar que "Agora não" adia a oferta sem marcar o tour como concluído.</v>
      </c>
      <c r="F90" t="str">
        <v>Baixo</v>
      </c>
      <c r="G90" t="str">
        <v/>
      </c>
      <c r="H90" t="str">
        <v/>
      </c>
    </row>
    <row r="91">
      <c r="A91" t="str">
        <v>PA-009</v>
      </c>
      <c r="B91" t="str">
        <v>Partner (upgrade de Agência)</v>
      </c>
      <c r="C91" t="str">
        <v>Onboarding — dispensar</v>
      </c>
      <c r="D91" t="str">
        <v>Completo</v>
      </c>
      <c r="E91" t="str">
        <v>Confirmar que "Não quero ver" dispensa a oferta automática definitivamente, mas nunca impede reabertura manual.</v>
      </c>
      <c r="F91" t="str">
        <v>Médio — evite fazer este teste sem necessidade, pois a decisão fica salva no servidor.</v>
      </c>
      <c r="G91" t="str">
        <v/>
      </c>
      <c r="H91" t="str">
        <v/>
      </c>
    </row>
    <row r="92">
      <c r="A92" t="str">
        <v>PA-010</v>
      </c>
      <c r="B92" t="str">
        <v>Partner (upgrade de Agência)</v>
      </c>
      <c r="C92" t="str">
        <v>Onboarding — retomar</v>
      </c>
      <c r="D92" t="str">
        <v>Rápido</v>
      </c>
      <c r="E92" t="str">
        <v>Confirmar que um tour interrompido no meio retoma exatamente do passo onde parou.</v>
      </c>
      <c r="F92" t="str">
        <v>Baixo</v>
      </c>
      <c r="G92" t="str">
        <v/>
      </c>
      <c r="H92" t="str">
        <v/>
      </c>
    </row>
    <row r="93">
      <c r="A93" t="str">
        <v>PA-011</v>
      </c>
      <c r="B93" t="str">
        <v>Partner (upgrade de Agência)</v>
      </c>
      <c r="C93" t="str">
        <v>Onboarding — concluir</v>
      </c>
      <c r="D93" t="str">
        <v>Completo</v>
      </c>
      <c r="E93" t="str">
        <v>Confirmar que é possível percorrer um tour do início ao fim e ele fica marcado como concluído.</v>
      </c>
      <c r="F93" t="str">
        <v>Baixo</v>
      </c>
      <c r="G93" t="str">
        <v/>
      </c>
      <c r="H93" t="str">
        <v/>
      </c>
    </row>
    <row r="94">
      <c r="A94" t="str">
        <v>PA-012</v>
      </c>
      <c r="B94" t="str">
        <v>Partner (upgrade de Agência)</v>
      </c>
      <c r="C94" t="str">
        <v>Onboarding — refazer</v>
      </c>
      <c r="D94" t="str">
        <v>Rápido</v>
      </c>
      <c r="E94" t="str">
        <v>Confirmar que um tour já concluído pode ser refeito pela Central de Ajuda sem perder o histórico.</v>
      </c>
      <c r="F94" t="str">
        <v>Baixo</v>
      </c>
      <c r="G94" t="str">
        <v/>
      </c>
      <c r="H94" t="str">
        <v/>
      </c>
    </row>
    <row r="95">
      <c r="A95" t="str">
        <v>PA-013</v>
      </c>
      <c r="B95" t="str">
        <v>Partner (upgrade de Agência)</v>
      </c>
      <c r="C95" t="str">
        <v>Permissão — Central de Ajuda</v>
      </c>
      <c r="D95" t="str">
        <v>Rápido</v>
      </c>
      <c r="E95" t="str">
        <v>Confirmar que a Central de Ajuda só lista tours que fazem sentido para este perfil.</v>
      </c>
      <c r="F95" t="str">
        <v>Baixo</v>
      </c>
      <c r="G95" t="str">
        <v/>
      </c>
      <c r="H95" t="str">
        <v/>
      </c>
    </row>
    <row r="96">
      <c r="A96" t="str">
        <v>PA-014</v>
      </c>
      <c r="B96" t="str">
        <v>Partner (upgrade de Agência)</v>
      </c>
      <c r="C96" t="str">
        <v>Onboarding — painel fechado</v>
      </c>
      <c r="D96" t="str">
        <v>Completo</v>
      </c>
      <c r="E96" t="str">
        <v>Confirmar que um tour que depende de um painel fechado (ex.: Alertas ou Notificações) orienta a abrir o painel em vez de travar ou pular o passo.</v>
      </c>
      <c r="F96" t="str">
        <v>Baixo</v>
      </c>
      <c r="G96" t="str">
        <v/>
      </c>
      <c r="H96" t="str">
        <v/>
      </c>
    </row>
    <row r="97">
      <c r="A97" t="str">
        <v>PA-015</v>
      </c>
      <c r="B97" t="str">
        <v>Partner (upgrade de Agência)</v>
      </c>
      <c r="C97" t="str">
        <v>Onboarding — sem dados abertos</v>
      </c>
      <c r="D97" t="str">
        <v>Completo</v>
      </c>
      <c r="E97" t="str">
        <v>Confirmar que um tour que depende de um projeto/registro aberto explica a situação quando não há nenhum aberto, em vez de travar ou ensinar uma ação impossível.</v>
      </c>
      <c r="F97" t="str">
        <v>Baixo</v>
      </c>
      <c r="G97" t="str">
        <v/>
      </c>
      <c r="H97" t="str">
        <v/>
      </c>
    </row>
    <row r="98">
      <c r="A98" t="str">
        <v>PA-016</v>
      </c>
      <c r="B98" t="str">
        <v>Partner (upgrade de Agência)</v>
      </c>
      <c r="C98" t="str">
        <v>Persistência após F5</v>
      </c>
      <c r="D98" t="str">
        <v>Rápido</v>
      </c>
      <c r="E98" t="str">
        <v>Confirmar que um tour em andamento retoma do mesmo passo depois de recarregar a página.</v>
      </c>
      <c r="F98" t="str">
        <v>Baixo</v>
      </c>
      <c r="G98" t="str">
        <v/>
      </c>
      <c r="H98" t="str">
        <v/>
      </c>
    </row>
    <row r="99">
      <c r="A99" t="str">
        <v>PA-017</v>
      </c>
      <c r="B99" t="str">
        <v>Partner (upgrade de Agência)</v>
      </c>
      <c r="C99" t="str">
        <v>Permissão — ações visíveis</v>
      </c>
      <c r="D99" t="str">
        <v>Completo</v>
      </c>
      <c r="E99" t="str">
        <v>Confirmar que os botões e ações visíveis na tela fazem sentido para este perfil — nada que essa conta não pode fazer aparece.</v>
      </c>
      <c r="F99" t="str">
        <v>Baixo</v>
      </c>
      <c r="G99" t="str">
        <v/>
      </c>
      <c r="H99" t="str">
        <v/>
      </c>
    </row>
    <row r="100">
      <c r="A100" t="str">
        <v>PA-018</v>
      </c>
      <c r="B100" t="str">
        <v>Partner (upgrade de Agência)</v>
      </c>
      <c r="C100" t="str">
        <v>Acesso condicionado ao status de Partner</v>
      </c>
      <c r="D100" t="str">
        <v>Rápido</v>
      </c>
      <c r="E100" t="str">
        <v>Confirmar que o portal /partner/* só é acessível porque a agência-partner de teste já tem o status de Partner aceito — Partner não é um quarto tipo principal de empresa; é uma condição e um perfil vinculado a uma Agência, e usuários autorizados acessam a experiência Partner conforme seu vínculo e suas permissões.</v>
      </c>
      <c r="F100" t="str">
        <v>Baixo</v>
      </c>
      <c r="G100" t="str">
        <v/>
      </c>
      <c r="H100" t="str">
        <v/>
      </c>
    </row>
    <row r="101">
      <c r="A101" t="str">
        <v>PA-019</v>
      </c>
      <c r="B101" t="str">
        <v>Partner (upgrade de Agência)</v>
      </c>
      <c r="C101" t="str">
        <v>Dados da própria agência-partner</v>
      </c>
      <c r="D101" t="str">
        <v>Completo</v>
      </c>
      <c r="E101" t="str">
        <v>Confirmar que os dados exibidos no portal Partner são sempre os da própria agência-partner de teste, nunca de outra agência.</v>
      </c>
      <c r="F101" t="str">
        <v>Baixo</v>
      </c>
      <c r="G101" t="str">
        <v/>
      </c>
      <c r="H101" t="str">
        <v/>
      </c>
    </row>
    <row r="102">
      <c r="A102" t="str">
        <v>PA-020</v>
      </c>
      <c r="B102" t="str">
        <v>Partner (upgrade de Agência)</v>
      </c>
      <c r="C102" t="str">
        <v>Ações extras exclusivas de Partner</v>
      </c>
      <c r="D102" t="str">
        <v>Completo</v>
      </c>
      <c r="E102" t="str">
        <v>Identificar e confirmar que existem ações ou telas extras disponíveis só para Partner, que não aparecem numa Agência comum.</v>
      </c>
      <c r="F102" t="str">
        <v>Baixo</v>
      </c>
      <c r="G102" t="str">
        <v/>
      </c>
      <c r="H102" t="str">
        <v/>
      </c>
    </row>
    <row r="103">
      <c r="A103" t="str">
        <v>LE-001</v>
      </c>
      <c r="B103" t="str">
        <v>Líder</v>
      </c>
      <c r="C103" t="str">
        <v>Layout geral</v>
      </c>
      <c r="D103" t="str">
        <v>Rápido</v>
      </c>
      <c r="E103" t="str">
        <v>Confirmar que a tela inicial do perfil carrega sem elementos quebrados, cortados ou fora do lugar.</v>
      </c>
      <c r="F103" t="str">
        <v>Baixo</v>
      </c>
      <c r="G103" t="str">
        <v/>
      </c>
      <c r="H103" t="str">
        <v/>
      </c>
    </row>
    <row r="104">
      <c r="A104" t="str">
        <v>LE-002</v>
      </c>
      <c r="B104" t="str">
        <v>Líder</v>
      </c>
      <c r="C104" t="str">
        <v>Textos e clareza</v>
      </c>
      <c r="D104" t="str">
        <v>Completo</v>
      </c>
      <c r="E104" t="str">
        <v>Confirmar que os textos da tela estão em português correto, sem termo técnico interno nem frase confusa.</v>
      </c>
      <c r="F104" t="str">
        <v>Baixo</v>
      </c>
      <c r="G104" t="str">
        <v/>
      </c>
      <c r="H104" t="str">
        <v/>
      </c>
    </row>
    <row r="105">
      <c r="A105" t="str">
        <v>LE-003</v>
      </c>
      <c r="B105" t="str">
        <v>Líder</v>
      </c>
      <c r="C105" t="str">
        <v>Botões</v>
      </c>
      <c r="D105" t="str">
        <v>Completo</v>
      </c>
      <c r="E105" t="str">
        <v>Confirmar que os botões têm nome completo, são clicáveis e fazem o que dizem.</v>
      </c>
      <c r="F105" t="str">
        <v>Baixo</v>
      </c>
      <c r="G105" t="str">
        <v/>
      </c>
      <c r="H105" t="str">
        <v/>
      </c>
    </row>
    <row r="106">
      <c r="A106" t="str">
        <v>LE-004</v>
      </c>
      <c r="B106" t="str">
        <v>Líder</v>
      </c>
      <c r="C106" t="str">
        <v>Filtros e busca</v>
      </c>
      <c r="D106" t="str">
        <v>Completo</v>
      </c>
      <c r="E106" t="str">
        <v>Confirmar que os filtros e a busca (quando existirem na tela) retornam um resultado coerente.</v>
      </c>
      <c r="F106" t="str">
        <v>Baixo</v>
      </c>
      <c r="G106" t="str">
        <v/>
      </c>
      <c r="H106" t="str">
        <v/>
      </c>
    </row>
    <row r="107">
      <c r="A107" t="str">
        <v>LE-005</v>
      </c>
      <c r="B107" t="str">
        <v>Líder</v>
      </c>
      <c r="C107" t="str">
        <v>Modais e painéis</v>
      </c>
      <c r="D107" t="str">
        <v>Rápido</v>
      </c>
      <c r="E107" t="str">
        <v>Confirmar que modais e painéis abrem e fecham sem travar a tela, sem sobrepor conteúdo indevido.</v>
      </c>
      <c r="F107" t="str">
        <v>Baixo</v>
      </c>
      <c r="G107" t="str">
        <v/>
      </c>
      <c r="H107" t="str">
        <v/>
      </c>
    </row>
    <row r="108">
      <c r="A108" t="str">
        <v>LE-006</v>
      </c>
      <c r="B108" t="str">
        <v>Líder</v>
      </c>
      <c r="C108" t="str">
        <v>Onboarding — oferta no primeiro acesso</v>
      </c>
      <c r="D108" t="str">
        <v>Rápido</v>
      </c>
      <c r="E108" t="str">
        <v>Confirmar que o tour de boas-vindas é oferecido automaticamente no primeiro acesso da conta.</v>
      </c>
      <c r="F108" t="str">
        <v>Baixo</v>
      </c>
      <c r="G108" t="str">
        <v/>
      </c>
      <c r="H108" t="str">
        <v/>
      </c>
    </row>
    <row r="109">
      <c r="A109" t="str">
        <v>LE-007</v>
      </c>
      <c r="B109" t="str">
        <v>Líder</v>
      </c>
      <c r="C109" t="str">
        <v>Onboarding — iniciar</v>
      </c>
      <c r="D109" t="str">
        <v>Rápido</v>
      </c>
      <c r="E109" t="str">
        <v>Confirmar que o botão "Começar" realmente inicia o tour guiado.</v>
      </c>
      <c r="F109" t="str">
        <v>Baixo</v>
      </c>
      <c r="G109" t="str">
        <v/>
      </c>
      <c r="H109" t="str">
        <v/>
      </c>
    </row>
    <row r="110">
      <c r="A110" t="str">
        <v>LE-008</v>
      </c>
      <c r="B110" t="str">
        <v>Líder</v>
      </c>
      <c r="C110" t="str">
        <v>Onboarding — adiar</v>
      </c>
      <c r="D110" t="str">
        <v>Completo</v>
      </c>
      <c r="E110" t="str">
        <v>Confirmar que "Agora não" adia a oferta sem marcar o tour como concluído.</v>
      </c>
      <c r="F110" t="str">
        <v>Baixo</v>
      </c>
      <c r="G110" t="str">
        <v/>
      </c>
      <c r="H110" t="str">
        <v/>
      </c>
    </row>
    <row r="111">
      <c r="A111" t="str">
        <v>LE-009</v>
      </c>
      <c r="B111" t="str">
        <v>Líder</v>
      </c>
      <c r="C111" t="str">
        <v>Onboarding — dispensar</v>
      </c>
      <c r="D111" t="str">
        <v>Completo</v>
      </c>
      <c r="E111" t="str">
        <v>Confirmar que "Não quero ver" dispensa a oferta automática definitivamente, mas nunca impede reabertura manual.</v>
      </c>
      <c r="F111" t="str">
        <v>Médio — evite fazer este teste sem necessidade, pois a decisão fica salva no servidor.</v>
      </c>
      <c r="G111" t="str">
        <v/>
      </c>
      <c r="H111" t="str">
        <v/>
      </c>
    </row>
    <row r="112">
      <c r="A112" t="str">
        <v>LE-010</v>
      </c>
      <c r="B112" t="str">
        <v>Líder</v>
      </c>
      <c r="C112" t="str">
        <v>Onboarding — retomar</v>
      </c>
      <c r="D112" t="str">
        <v>Rápido</v>
      </c>
      <c r="E112" t="str">
        <v>Confirmar que um tour interrompido no meio retoma exatamente do passo onde parou.</v>
      </c>
      <c r="F112" t="str">
        <v>Baixo</v>
      </c>
      <c r="G112" t="str">
        <v/>
      </c>
      <c r="H112" t="str">
        <v/>
      </c>
    </row>
    <row r="113">
      <c r="A113" t="str">
        <v>LE-011</v>
      </c>
      <c r="B113" t="str">
        <v>Líder</v>
      </c>
      <c r="C113" t="str">
        <v>Onboarding — concluir</v>
      </c>
      <c r="D113" t="str">
        <v>Completo</v>
      </c>
      <c r="E113" t="str">
        <v>Confirmar que é possível percorrer um tour do início ao fim e ele fica marcado como concluído.</v>
      </c>
      <c r="F113" t="str">
        <v>Baixo</v>
      </c>
      <c r="G113" t="str">
        <v/>
      </c>
      <c r="H113" t="str">
        <v/>
      </c>
    </row>
    <row r="114">
      <c r="A114" t="str">
        <v>LE-012</v>
      </c>
      <c r="B114" t="str">
        <v>Líder</v>
      </c>
      <c r="C114" t="str">
        <v>Onboarding — refazer</v>
      </c>
      <c r="D114" t="str">
        <v>Rápido</v>
      </c>
      <c r="E114" t="str">
        <v>Confirmar que um tour já concluído pode ser refeito pela Central de Ajuda sem perder o histórico.</v>
      </c>
      <c r="F114" t="str">
        <v>Baixo</v>
      </c>
      <c r="G114" t="str">
        <v/>
      </c>
      <c r="H114" t="str">
        <v/>
      </c>
    </row>
    <row r="115">
      <c r="A115" t="str">
        <v>LE-013</v>
      </c>
      <c r="B115" t="str">
        <v>Líder</v>
      </c>
      <c r="C115" t="str">
        <v>Permissão — Central de Ajuda</v>
      </c>
      <c r="D115" t="str">
        <v>Rápido</v>
      </c>
      <c r="E115" t="str">
        <v>Confirmar que a Central de Ajuda só lista tours que fazem sentido para este perfil.</v>
      </c>
      <c r="F115" t="str">
        <v>Baixo</v>
      </c>
      <c r="G115" t="str">
        <v/>
      </c>
      <c r="H115" t="str">
        <v/>
      </c>
    </row>
    <row r="116">
      <c r="A116" t="str">
        <v>LE-014</v>
      </c>
      <c r="B116" t="str">
        <v>Líder</v>
      </c>
      <c r="C116" t="str">
        <v>Onboarding — painel fechado</v>
      </c>
      <c r="D116" t="str">
        <v>Completo</v>
      </c>
      <c r="E116" t="str">
        <v>Confirmar que um tour que depende de um painel fechado (ex.: Alertas ou Notificações) orienta a abrir o painel em vez de travar ou pular o passo.</v>
      </c>
      <c r="F116" t="str">
        <v>Baixo</v>
      </c>
      <c r="G116" t="str">
        <v/>
      </c>
      <c r="H116" t="str">
        <v/>
      </c>
    </row>
    <row r="117">
      <c r="A117" t="str">
        <v>LE-015</v>
      </c>
      <c r="B117" t="str">
        <v>Líder</v>
      </c>
      <c r="C117" t="str">
        <v>Onboarding — sem dados abertos</v>
      </c>
      <c r="D117" t="str">
        <v>Completo</v>
      </c>
      <c r="E117" t="str">
        <v>Confirmar que um tour que depende de um projeto/registro aberto explica a situação quando não há nenhum aberto, em vez de travar ou ensinar uma ação impossível.</v>
      </c>
      <c r="F117" t="str">
        <v>Baixo</v>
      </c>
      <c r="G117" t="str">
        <v/>
      </c>
      <c r="H117" t="str">
        <v/>
      </c>
    </row>
    <row r="118">
      <c r="A118" t="str">
        <v>LE-016</v>
      </c>
      <c r="B118" t="str">
        <v>Líder</v>
      </c>
      <c r="C118" t="str">
        <v>Persistência após F5</v>
      </c>
      <c r="D118" t="str">
        <v>Rápido</v>
      </c>
      <c r="E118" t="str">
        <v>Confirmar que um tour em andamento retoma do mesmo passo depois de recarregar a página.</v>
      </c>
      <c r="F118" t="str">
        <v>Baixo</v>
      </c>
      <c r="G118" t="str">
        <v/>
      </c>
      <c r="H118" t="str">
        <v/>
      </c>
    </row>
    <row r="119">
      <c r="A119" t="str">
        <v>LE-017</v>
      </c>
      <c r="B119" t="str">
        <v>Líder</v>
      </c>
      <c r="C119" t="str">
        <v>Permissão — ações visíveis</v>
      </c>
      <c r="D119" t="str">
        <v>Completo</v>
      </c>
      <c r="E119" t="str">
        <v>Confirmar que os botões e ações visíveis na tela fazem sentido para este perfil — nada que essa conta não pode fazer aparece.</v>
      </c>
      <c r="F119" t="str">
        <v>Baixo</v>
      </c>
      <c r="G119" t="str">
        <v/>
      </c>
      <c r="H119" t="str">
        <v/>
      </c>
    </row>
    <row r="120">
      <c r="A120" t="str">
        <v>LE-018</v>
      </c>
      <c r="B120" t="str">
        <v>Líder</v>
      </c>
      <c r="C120" t="str">
        <v>Catálogo — ver sem contratar</v>
      </c>
      <c r="D120" t="str">
        <v>Rápido</v>
      </c>
      <c r="E120" t="str">
        <v>Confirmar que o Líder vê o catálogo de produtos, mas nunca a opção de contratar/comprar.</v>
      </c>
      <c r="F120" t="str">
        <v>Baixo</v>
      </c>
      <c r="G120" t="str">
        <v/>
      </c>
      <c r="H120" t="str">
        <v/>
      </c>
    </row>
    <row r="121">
      <c r="A121" t="str">
        <v>LE-019</v>
      </c>
      <c r="B121" t="str">
        <v>Líder</v>
      </c>
      <c r="C121" t="str">
        <v>Acompanhar tarefas/projetos da área de atuação</v>
      </c>
      <c r="D121" t="str">
        <v>Completo</v>
      </c>
      <c r="E121" t="str">
        <v>Confirmar que o Líder acompanha tarefas e projetos ligados à sua área de atuação cadastrada (ex.: [TESTE QA] Design).</v>
      </c>
      <c r="F121" t="str">
        <v>Baixo</v>
      </c>
      <c r="G121" t="str">
        <v/>
      </c>
      <c r="H121" t="str">
        <v/>
      </c>
    </row>
    <row r="122">
      <c r="A122" t="str">
        <v>NO-001</v>
      </c>
      <c r="B122" t="str">
        <v>Nômade</v>
      </c>
      <c r="C122" t="str">
        <v>Layout geral</v>
      </c>
      <c r="D122" t="str">
        <v>Rápido</v>
      </c>
      <c r="E122" t="str">
        <v>Confirmar que a tela inicial do perfil carrega sem elementos quebrados, cortados ou fora do lugar.</v>
      </c>
      <c r="F122" t="str">
        <v>Baixo</v>
      </c>
      <c r="G122" t="str">
        <v/>
      </c>
      <c r="H122" t="str">
        <v/>
      </c>
    </row>
    <row r="123">
      <c r="A123" t="str">
        <v>NO-002</v>
      </c>
      <c r="B123" t="str">
        <v>Nômade</v>
      </c>
      <c r="C123" t="str">
        <v>Textos e clareza</v>
      </c>
      <c r="D123" t="str">
        <v>Completo</v>
      </c>
      <c r="E123" t="str">
        <v>Confirmar que os textos da tela estão em português correto, sem termo técnico interno nem frase confusa.</v>
      </c>
      <c r="F123" t="str">
        <v>Baixo</v>
      </c>
      <c r="G123" t="str">
        <v/>
      </c>
      <c r="H123" t="str">
        <v/>
      </c>
    </row>
    <row r="124">
      <c r="A124" t="str">
        <v>NO-003</v>
      </c>
      <c r="B124" t="str">
        <v>Nômade</v>
      </c>
      <c r="C124" t="str">
        <v>Botões</v>
      </c>
      <c r="D124" t="str">
        <v>Completo</v>
      </c>
      <c r="E124" t="str">
        <v>Confirmar que os botões têm nome completo, são clicáveis e fazem o que dizem.</v>
      </c>
      <c r="F124" t="str">
        <v>Baixo</v>
      </c>
      <c r="G124" t="str">
        <v/>
      </c>
      <c r="H124" t="str">
        <v/>
      </c>
    </row>
    <row r="125">
      <c r="A125" t="str">
        <v>NO-004</v>
      </c>
      <c r="B125" t="str">
        <v>Nômade</v>
      </c>
      <c r="C125" t="str">
        <v>Filtros e busca</v>
      </c>
      <c r="D125" t="str">
        <v>Completo</v>
      </c>
      <c r="E125" t="str">
        <v>Confirmar que os filtros e a busca (quando existirem na tela) retornam um resultado coerente.</v>
      </c>
      <c r="F125" t="str">
        <v>Baixo</v>
      </c>
      <c r="G125" t="str">
        <v/>
      </c>
      <c r="H125" t="str">
        <v/>
      </c>
    </row>
    <row r="126">
      <c r="A126" t="str">
        <v>NO-005</v>
      </c>
      <c r="B126" t="str">
        <v>Nômade</v>
      </c>
      <c r="C126" t="str">
        <v>Modais e painéis</v>
      </c>
      <c r="D126" t="str">
        <v>Rápido</v>
      </c>
      <c r="E126" t="str">
        <v>Confirmar que modais e painéis abrem e fecham sem travar a tela, sem sobrepor conteúdo indevido.</v>
      </c>
      <c r="F126" t="str">
        <v>Baixo</v>
      </c>
      <c r="G126" t="str">
        <v/>
      </c>
      <c r="H126" t="str">
        <v/>
      </c>
    </row>
    <row r="127">
      <c r="A127" t="str">
        <v>NO-006</v>
      </c>
      <c r="B127" t="str">
        <v>Nômade</v>
      </c>
      <c r="C127" t="str">
        <v>Onboarding — oferta no primeiro acesso</v>
      </c>
      <c r="D127" t="str">
        <v>Rápido</v>
      </c>
      <c r="E127" t="str">
        <v>Confirmar que o tour de boas-vindas é oferecido automaticamente no primeiro acesso da conta.</v>
      </c>
      <c r="F127" t="str">
        <v>Baixo</v>
      </c>
      <c r="G127" t="str">
        <v/>
      </c>
      <c r="H127" t="str">
        <v/>
      </c>
    </row>
    <row r="128">
      <c r="A128" t="str">
        <v>NO-007</v>
      </c>
      <c r="B128" t="str">
        <v>Nômade</v>
      </c>
      <c r="C128" t="str">
        <v>Onboarding — iniciar</v>
      </c>
      <c r="D128" t="str">
        <v>Rápido</v>
      </c>
      <c r="E128" t="str">
        <v>Confirmar que o botão "Começar" realmente inicia o tour guiado.</v>
      </c>
      <c r="F128" t="str">
        <v>Baixo</v>
      </c>
      <c r="G128" t="str">
        <v/>
      </c>
      <c r="H128" t="str">
        <v/>
      </c>
    </row>
    <row r="129">
      <c r="A129" t="str">
        <v>NO-008</v>
      </c>
      <c r="B129" t="str">
        <v>Nômade</v>
      </c>
      <c r="C129" t="str">
        <v>Onboarding — adiar</v>
      </c>
      <c r="D129" t="str">
        <v>Completo</v>
      </c>
      <c r="E129" t="str">
        <v>Confirmar que "Agora não" adia a oferta sem marcar o tour como concluído.</v>
      </c>
      <c r="F129" t="str">
        <v>Baixo</v>
      </c>
      <c r="G129" t="str">
        <v/>
      </c>
      <c r="H129" t="str">
        <v/>
      </c>
    </row>
    <row r="130">
      <c r="A130" t="str">
        <v>NO-009</v>
      </c>
      <c r="B130" t="str">
        <v>Nômade</v>
      </c>
      <c r="C130" t="str">
        <v>Onboarding — dispensar</v>
      </c>
      <c r="D130" t="str">
        <v>Completo</v>
      </c>
      <c r="E130" t="str">
        <v>Confirmar que "Não quero ver" dispensa a oferta automática definitivamente, mas nunca impede reabertura manual.</v>
      </c>
      <c r="F130" t="str">
        <v>Médio — evite fazer este teste sem necessidade, pois a decisão fica salva no servidor.</v>
      </c>
      <c r="G130" t="str">
        <v/>
      </c>
      <c r="H130" t="str">
        <v/>
      </c>
    </row>
    <row r="131">
      <c r="A131" t="str">
        <v>NO-010</v>
      </c>
      <c r="B131" t="str">
        <v>Nômade</v>
      </c>
      <c r="C131" t="str">
        <v>Onboarding — retomar</v>
      </c>
      <c r="D131" t="str">
        <v>Rápido</v>
      </c>
      <c r="E131" t="str">
        <v>Confirmar que um tour interrompido no meio retoma exatamente do passo onde parou.</v>
      </c>
      <c r="F131" t="str">
        <v>Baixo</v>
      </c>
      <c r="G131" t="str">
        <v/>
      </c>
      <c r="H131" t="str">
        <v/>
      </c>
    </row>
    <row r="132">
      <c r="A132" t="str">
        <v>NO-011</v>
      </c>
      <c r="B132" t="str">
        <v>Nômade</v>
      </c>
      <c r="C132" t="str">
        <v>Onboarding — concluir</v>
      </c>
      <c r="D132" t="str">
        <v>Completo</v>
      </c>
      <c r="E132" t="str">
        <v>Confirmar que é possível percorrer um tour do início ao fim e ele fica marcado como concluído.</v>
      </c>
      <c r="F132" t="str">
        <v>Baixo</v>
      </c>
      <c r="G132" t="str">
        <v/>
      </c>
      <c r="H132" t="str">
        <v/>
      </c>
    </row>
    <row r="133">
      <c r="A133" t="str">
        <v>NO-012</v>
      </c>
      <c r="B133" t="str">
        <v>Nômade</v>
      </c>
      <c r="C133" t="str">
        <v>Onboarding — refazer</v>
      </c>
      <c r="D133" t="str">
        <v>Rápido</v>
      </c>
      <c r="E133" t="str">
        <v>Confirmar que um tour já concluído pode ser refeito pela Central de Ajuda sem perder o histórico.</v>
      </c>
      <c r="F133" t="str">
        <v>Baixo</v>
      </c>
      <c r="G133" t="str">
        <v/>
      </c>
      <c r="H133" t="str">
        <v/>
      </c>
    </row>
    <row r="134">
      <c r="A134" t="str">
        <v>NO-013</v>
      </c>
      <c r="B134" t="str">
        <v>Nômade</v>
      </c>
      <c r="C134" t="str">
        <v>Permissão — Central de Ajuda</v>
      </c>
      <c r="D134" t="str">
        <v>Rápido</v>
      </c>
      <c r="E134" t="str">
        <v>Confirmar que a Central de Ajuda só lista tours que fazem sentido para este perfil.</v>
      </c>
      <c r="F134" t="str">
        <v>Baixo</v>
      </c>
      <c r="G134" t="str">
        <v/>
      </c>
      <c r="H134" t="str">
        <v/>
      </c>
    </row>
    <row r="135">
      <c r="A135" t="str">
        <v>NO-014</v>
      </c>
      <c r="B135" t="str">
        <v>Nômade</v>
      </c>
      <c r="C135" t="str">
        <v>Onboarding — painel fechado</v>
      </c>
      <c r="D135" t="str">
        <v>Completo</v>
      </c>
      <c r="E135" t="str">
        <v>Confirmar que um tour que depende de um painel fechado (ex.: Alertas ou Notificações) orienta a abrir o painel em vez de travar ou pular o passo.</v>
      </c>
      <c r="F135" t="str">
        <v>Baixo</v>
      </c>
      <c r="G135" t="str">
        <v/>
      </c>
      <c r="H135" t="str">
        <v/>
      </c>
    </row>
    <row r="136">
      <c r="A136" t="str">
        <v>NO-015</v>
      </c>
      <c r="B136" t="str">
        <v>Nômade</v>
      </c>
      <c r="C136" t="str">
        <v>Onboarding — sem dados abertos</v>
      </c>
      <c r="D136" t="str">
        <v>Completo</v>
      </c>
      <c r="E136" t="str">
        <v>Confirmar que um tour que depende de um projeto/registro aberto explica a situação quando não há nenhum aberto, em vez de travar ou ensinar uma ação impossível.</v>
      </c>
      <c r="F136" t="str">
        <v>Baixo</v>
      </c>
      <c r="G136" t="str">
        <v/>
      </c>
      <c r="H136" t="str">
        <v/>
      </c>
    </row>
    <row r="137">
      <c r="A137" t="str">
        <v>NO-016</v>
      </c>
      <c r="B137" t="str">
        <v>Nômade</v>
      </c>
      <c r="C137" t="str">
        <v>Persistência após F5</v>
      </c>
      <c r="D137" t="str">
        <v>Rápido</v>
      </c>
      <c r="E137" t="str">
        <v>Confirmar que um tour em andamento retoma do mesmo passo depois de recarregar a página.</v>
      </c>
      <c r="F137" t="str">
        <v>Baixo</v>
      </c>
      <c r="G137" t="str">
        <v/>
      </c>
      <c r="H137" t="str">
        <v/>
      </c>
    </row>
    <row r="138">
      <c r="A138" t="str">
        <v>NO-017</v>
      </c>
      <c r="B138" t="str">
        <v>Nômade</v>
      </c>
      <c r="C138" t="str">
        <v>Permissão — ações visíveis</v>
      </c>
      <c r="D138" t="str">
        <v>Completo</v>
      </c>
      <c r="E138" t="str">
        <v>Confirmar que os botões e ações visíveis na tela fazem sentido para este perfil — nada que essa conta não pode fazer aparece.</v>
      </c>
      <c r="F138" t="str">
        <v>Baixo</v>
      </c>
      <c r="G138" t="str">
        <v/>
      </c>
      <c r="H138" t="str">
        <v/>
      </c>
    </row>
    <row r="139">
      <c r="A139" t="str">
        <v>NO-018</v>
      </c>
      <c r="B139" t="str">
        <v>Nômade</v>
      </c>
      <c r="C139" t="str">
        <v>Catálogo de contratação ausente</v>
      </c>
      <c r="D139" t="str">
        <v>Rápido</v>
      </c>
      <c r="E139" t="str">
        <v>Confirmar que o Nômade NÃO enxerga o catálogo de contratação em nenhum lugar do menu.</v>
      </c>
      <c r="F139" t="str">
        <v>Baixo</v>
      </c>
      <c r="G139" t="str">
        <v/>
      </c>
      <c r="H139" t="str">
        <v/>
      </c>
    </row>
    <row r="140">
      <c r="A140" t="str">
        <v>NO-019</v>
      </c>
      <c r="B140" t="str">
        <v>Nômade</v>
      </c>
      <c r="C140" t="str">
        <v>Tarefas atribuíveis</v>
      </c>
      <c r="D140" t="str">
        <v>Completo</v>
      </c>
      <c r="E140" t="str">
        <v>Confirmar que o Nômade vê as tarefas que pode assumir.</v>
      </c>
      <c r="F140" t="str">
        <v>Baixo</v>
      </c>
      <c r="G140" t="str">
        <v/>
      </c>
      <c r="H140" t="str">
        <v/>
      </c>
    </row>
    <row r="141">
      <c r="A141" t="str">
        <v>NO-020</v>
      </c>
      <c r="B141" t="str">
        <v>Nômade</v>
      </c>
      <c r="C141" t="str">
        <v>Dependência entre tarefas</v>
      </c>
      <c r="D141" t="str">
        <v>Completo</v>
      </c>
      <c r="E141" t="str">
        <v>Confirmar que a 2ª tarefa do pedido de teste aparece bloqueada ("Pendente de liberação") até a 1ª ser concluída e aprovada.</v>
      </c>
      <c r="F141" t="str">
        <v>Médio — não avance a tarefa real, só confirme visualmente o bloqueio.</v>
      </c>
      <c r="G141" t="str">
        <v/>
      </c>
      <c r="H141" t="str">
        <v/>
      </c>
    </row>
    <row r="142">
      <c r="A142" t="str">
        <v>CE-001</v>
      </c>
      <c r="B142" t="str">
        <v>Celular</v>
      </c>
      <c r="C142" t="str">
        <v>Mobile — Menu no celular</v>
      </c>
      <c r="D142" t="str">
        <v>Rápido</v>
      </c>
      <c r="E142" t="str">
        <v>Confirmar que o menu de navegação principal abre e fecha corretamente no celular.</v>
      </c>
      <c r="F142" t="str">
        <v>Baixo</v>
      </c>
      <c r="G142" t="str">
        <v/>
      </c>
      <c r="H142" t="str">
        <v/>
      </c>
    </row>
    <row r="143">
      <c r="A143" t="str">
        <v>CE-002</v>
      </c>
      <c r="B143" t="str">
        <v>Celular</v>
      </c>
      <c r="C143" t="str">
        <v>Mobile — Nada cortado</v>
      </c>
      <c r="D143" t="str">
        <v>Rápido</v>
      </c>
      <c r="E143" t="str">
        <v>Confirmar que nenhum elemento fica cortado nas telas principais do perfil usado.</v>
      </c>
      <c r="F143" t="str">
        <v>Baixo</v>
      </c>
      <c r="G143" t="str">
        <v/>
      </c>
      <c r="H143" t="str">
        <v/>
      </c>
    </row>
    <row r="144">
      <c r="A144" t="str">
        <v>CE-003</v>
      </c>
      <c r="B144" t="str">
        <v>Celular</v>
      </c>
      <c r="C144" t="str">
        <v>Mobile — Botões tocáveis</v>
      </c>
      <c r="D144" t="str">
        <v>Completo</v>
      </c>
      <c r="E144" t="str">
        <v>Confirmar que os botões são grandes o bastante para tocar, sem exigir precisão de mouse.</v>
      </c>
      <c r="F144" t="str">
        <v>Baixo</v>
      </c>
      <c r="G144" t="str">
        <v/>
      </c>
      <c r="H144" t="str">
        <v/>
      </c>
    </row>
    <row r="145">
      <c r="A145" t="str">
        <v>CE-004</v>
      </c>
      <c r="B145" t="str">
        <v>Celular</v>
      </c>
      <c r="C145" t="str">
        <v>Mobile — Modais no celular</v>
      </c>
      <c r="D145" t="str">
        <v>Completo</v>
      </c>
      <c r="E145" t="str">
        <v>Confirmar que modais e painéis ocupam a tela corretamente, sem cortar topo ou rodapé.</v>
      </c>
      <c r="F145" t="str">
        <v>Baixo</v>
      </c>
      <c r="G145" t="str">
        <v/>
      </c>
      <c r="H145" t="str">
        <v/>
      </c>
    </row>
    <row r="146">
      <c r="A146" t="str">
        <v>CE-005</v>
      </c>
      <c r="B146" t="str">
        <v>Celular</v>
      </c>
      <c r="C146" t="str">
        <v>Mobile — Tour no celular</v>
      </c>
      <c r="D146" t="str">
        <v>Rápido</v>
      </c>
      <c r="E146" t="str">
        <v>Confirmar que o balão de explicação do tour guiado nunca fica cortado no celular.</v>
      </c>
      <c r="F146" t="str">
        <v>Baixo</v>
      </c>
      <c r="G146" t="str">
        <v/>
      </c>
      <c r="H146" t="str">
        <v/>
      </c>
    </row>
    <row r="147">
      <c r="A147" t="str">
        <v>CE-006</v>
      </c>
      <c r="B147" t="str">
        <v>Celular</v>
      </c>
      <c r="C147" t="str">
        <v>Mobile — Sem depender de hover</v>
      </c>
      <c r="D147" t="str">
        <v>Completo</v>
      </c>
      <c r="E147" t="str">
        <v>Confirmar que nenhuma ação do tour ou da tela depende de passar o mouse por cima (hover).</v>
      </c>
      <c r="F147" t="str">
        <v>Baixo</v>
      </c>
      <c r="G147" t="str">
        <v/>
      </c>
      <c r="H147" t="str">
        <v/>
      </c>
    </row>
    <row r="148">
      <c r="A148" t="str">
        <v>CE-007</v>
      </c>
      <c r="B148" t="str">
        <v>Celular</v>
      </c>
      <c r="C148" t="str">
        <v>Mobile — F5 no celular</v>
      </c>
      <c r="D148" t="str">
        <v>Completo</v>
      </c>
      <c r="E148" t="str">
        <v>Confirmar que um F5 (recarregar) no celular também retoma o tour do mesmo passo.</v>
      </c>
      <c r="F148" t="str">
        <v>Baixo</v>
      </c>
      <c r="G148" t="str">
        <v/>
      </c>
      <c r="H148" t="str">
        <v/>
      </c>
    </row>
    <row r="149">
      <c r="A149" t="str">
        <v>CE-008</v>
      </c>
      <c r="B149" t="str">
        <v>Celular</v>
      </c>
      <c r="C149" t="str">
        <v>Mobile — Ícones flutuantes</v>
      </c>
      <c r="D149" t="str">
        <v>Completo</v>
      </c>
      <c r="E149" t="str">
        <v>Confirmar que os ícones flutuantes (Ajuda, Alertas, Notificações) não se sobrepõem uns aos outros.</v>
      </c>
      <c r="F149" t="str">
        <v>Baixo</v>
      </c>
      <c r="G149" t="str">
        <v/>
      </c>
      <c r="H149" t="str">
        <v/>
      </c>
    </row>
    <row r="150">
      <c r="A150" t="str">
        <v>CE-009</v>
      </c>
      <c r="B150" t="str">
        <v>Celular</v>
      </c>
      <c r="C150" t="str">
        <v>Mobile — Rolagem</v>
      </c>
      <c r="D150" t="str">
        <v>Completo</v>
      </c>
      <c r="E150" t="str">
        <v>Confirmar que a rolagem da página funciona normalmente, sem duas barras de rolagem brigando.</v>
      </c>
      <c r="F150" t="str">
        <v>Baixo</v>
      </c>
      <c r="G150" t="str">
        <v/>
      </c>
      <c r="H150" t="str">
        <v/>
      </c>
    </row>
    <row r="151">
      <c r="A151" t="str">
        <v>CE-010</v>
      </c>
      <c r="B151" t="str">
        <v>Celular</v>
      </c>
      <c r="C151" t="str">
        <v>Mobile — Login e carregamento no celular</v>
      </c>
      <c r="D151" t="str">
        <v>Rápido</v>
      </c>
      <c r="E151" t="str">
        <v>Confirmar que login e carregamento básico funcionam normalmente no celular.</v>
      </c>
      <c r="F151" t="str">
        <v>Baixo</v>
      </c>
      <c r="G151" t="str">
        <v/>
      </c>
      <c r="H151" t="str">
        <v/>
      </c>
    </row>
    <row r="152">
      <c r="A152" t="str">
        <v>CR-001</v>
      </c>
      <c r="B152" t="str">
        <v>Testes cruzados</v>
      </c>
      <c r="C152" t="str">
        <v>Comparação — Admin Master x Admin comum</v>
      </c>
      <c r="D152" t="str">
        <v>Completo</v>
      </c>
      <c r="E152" t="str">
        <v>Confirmar visualmente que Legacy e Administração de Alertas e Regras só aparecem para o Master. (já confirmado por chamada direta à API antes deste documento — este teste confirma o reflexo na INTERFACE).</v>
      </c>
      <c r="F152" t="str">
        <v>Baixo</v>
      </c>
      <c r="G152" t="str">
        <v/>
      </c>
      <c r="H152" t="str">
        <v/>
      </c>
    </row>
    <row r="153">
      <c r="A153" t="str">
        <v>CR-002</v>
      </c>
      <c r="B153" t="str">
        <v>Testes cruzados</v>
      </c>
      <c r="C153" t="str">
        <v>Comparação — Empresa x Agência</v>
      </c>
      <c r="D153" t="str">
        <v>Completo</v>
      </c>
      <c r="E153" t="str">
        <v>Confirmar visualmente que uma conta nunca mostra dado da outra (projeto, memória, aditivo). (já confirmado por chamada direta à API antes deste documento — este teste confirma o reflexo na INTERFACE).</v>
      </c>
      <c r="F153" t="str">
        <v>Baixo</v>
      </c>
      <c r="G153" t="str">
        <v/>
      </c>
      <c r="H153" t="str">
        <v/>
      </c>
    </row>
    <row r="154">
      <c r="A154" t="str">
        <v>CR-003</v>
      </c>
      <c r="B154" t="str">
        <v>Testes cruzados</v>
      </c>
      <c r="C154" t="str">
        <v>Comparação — Nômade x Líder</v>
      </c>
      <c r="D154" t="str">
        <v>Completo</v>
      </c>
      <c r="E154" t="str">
        <v>Confirmar que o Nômade não vê o catálogo de contratação, e o Líder vê mas sem poder contratar. (já confirmado por chamada direta à API antes deste documento — este teste confirma o reflexo na INTERFACE).</v>
      </c>
      <c r="F154" t="str">
        <v>Baixo</v>
      </c>
      <c r="G154" t="str">
        <v/>
      </c>
      <c r="H154" t="str">
        <v/>
      </c>
    </row>
  </sheetData>
  <autoFilter ref="A1:H154"/>
  <conditionalFormatting sqref="G2:G154">
    <cfRule type="cellIs" dxfId="0" priority="100" operator="equal">
      <formula>"Funcionou"</formula>
    </cfRule>
  </conditionalFormatting>
  <conditionalFormatting sqref="G2:G154">
    <cfRule type="cellIs" dxfId="1" priority="101" operator="equal">
      <formula>"Não funcionou"</formula>
    </cfRule>
  </conditionalFormatting>
  <conditionalFormatting sqref="G2:G154">
    <cfRule type="cellIs" dxfId="2" priority="102" operator="equal">
      <formula>"Não se aplica"</formula>
    </cfRule>
  </conditionalFormatting>
  <conditionalFormatting sqref="G2:G154">
    <cfRule type="cellIs" dxfId="3" priority="103" operator="equal">
      <formula>"Não consegui testar"</formula>
    </cfRule>
  </conditionalFormatting>
  <dataValidations count="1">
    <dataValidation type="list" allowBlank="1" showInputMessage="1" showErrorMessage="1" errorTitle="Valor inválido" error="Escolha um valor da lista." sqref="G2:G154">
      <formula1>"Funcionou,Não funcionou,Não se aplica,Não consegui testar"</formula1>
    </dataValidation>
  </dataValidations>
  <ignoredErrors>
    <ignoredError numberStoredAsText="1" sqref="A1:H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0.83203125" customWidth="1"/>
  </cols>
  <sheetData>
    <row r="1">
      <c r="A1" t="str">
        <v>Como preencher</v>
      </c>
    </row>
    <row r="2">
      <c r="A2" t="str">
        <v>Cada teste da planilha "Registro_de_Resultados_Allka.xlsx" tem uma coluna "Status" com lista suspensa: Funcionou, Não funcionou, Não se aplica ou Não consegui testar. A célula muda de cor sozinha conforme a escolha (verde/vermelho/cinza/amarelo). A aba "Resumo" soma automaticamente quantos testes de cada situação existem por perfil e por trilha.</v>
      </c>
    </row>
    <row r="4">
      <c r="A4" t="str">
        <v>Valores aceitos na coluna Status (lista suspensa)</v>
      </c>
    </row>
    <row r="5">
      <c r="A5" t="str">
        <v>Funcionou</v>
      </c>
    </row>
    <row r="6">
      <c r="A6" t="str">
        <v>Não funcionou</v>
      </c>
    </row>
    <row r="7">
      <c r="A7" t="str">
        <v>Não se aplica</v>
      </c>
    </row>
    <row r="8">
      <c r="A8" t="str">
        <v>Não consegui testar</v>
      </c>
    </row>
    <row r="10">
      <c r="A10" t="str">
        <v>Trilha rápida x completa</v>
      </c>
    </row>
    <row r="11">
      <c r="A11" t="str">
        <v>A trilha rápida seleciona os pontos mais críticos de cada perfil, para uma primeira passada de cerca de 15 a 20 minutos. Um teste rápido também faz parte da trilha completa — não é um teste diferente, só uma prioridade maior. A trilha completa cobre todos os testes do perfil.</v>
      </c>
    </row>
    <row r="13">
      <c r="A13" t="str">
        <v>Atenção</v>
      </c>
    </row>
    <row r="14">
      <c r="A14" t="str">
        <v>Não altere os textos das colunas ID, Perfil, Funcionalidade, Trilha, Objetivo e Nível de cuidado — só preencha Status e Observações.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Testes</vt:lpstr>
      <vt:lpstr>Legenda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